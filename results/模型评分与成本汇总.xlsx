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b10901a85845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sk 1" sheetId="1" r:id="R6be2a5663a2041ab"/>
    <x:sheet xmlns:r="http://schemas.openxmlformats.org/officeDocument/2006/relationships" name="Task 2" sheetId="2" r:id="R4501040b256c4ac9"/>
    <x:sheet xmlns:r="http://schemas.openxmlformats.org/officeDocument/2006/relationships" name="Task 3" sheetId="3" r:id="Rfe83d5f852314e79"/>
    <x:sheet xmlns:r="http://schemas.openxmlformats.org/officeDocument/2006/relationships" name="综合汇总" sheetId="4" r:id="R0fe4d1f3c1494615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<x:sst xmlns:x="http://schemas.openxmlformats.org/spreadsheetml/2006/main">
  <x:si>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</x:si>
  <x:si>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Model</x:t>
  </x:si>
  <x:si>
    <x:t xml:space="preserve">Usage/dollar</x:t>
  </x:si>
  <x:si>
    <x:t xml:space="preserve">Score</x:t>
  </x:si>
</x:sst>
</file>

<file path=xl/styles.xml><?xml version="1.0" encoding="utf-8"?>
<x:styleSheet xmlns:x="http://schemas.openxmlformats.org/spreadsheetml/2006/main">
  <x:numFmts count="5">
    <x:numFmt numFmtId="200" formatCode="0"/>
    <x:numFmt numFmtId="201" formatCode="0.000"/>
    <x:numFmt numFmtId="202" formatCode="0.00"/>
    <x:numFmt numFmtId="203" formatCode="0.0"/>
    <x:numFmt numFmtId="204" formatCode="0.0%"/>
  </x:numFmts>
  <x:fonts count="9">
    <x:font>
      <x:sz val="11"/>
      <x:color theme="1"/>
      <x:name val="等线"/>
    </x:font>
    <x:font>
      <x:sz val="9"/>
      <x:name val="等线"/>
    </x:font>
    <x:font>
      <x:sz val="10"/>
      <x:color rgb="FF242126"/>
      <x:name val="Arial"/>
    </x:font>
    <x:font>
      <x:b/>
      <x:sz val="17"/>
      <x:color rgb="FF242126"/>
      <x:name val="Arial"/>
    </x:font>
    <x:font>
      <x:sz val="10"/>
      <x:color rgb="FF66616B"/>
      <x:name val="Arial"/>
    </x:font>
    <x:font>
      <x:b/>
      <x:sz val="10"/>
      <x:color rgb="FFFFFFFF"/>
      <x:name val="Arial"/>
    </x:font>
    <x:font>
      <x:b/>
      <x:sz val="12"/>
      <x:color rgb="FF7E0C6E"/>
      <x:name val="Arial"/>
    </x:font>
    <x:font>
      <x:b/>
      <x:sz val="12"/>
      <x:color rgb="FF7E0C6E"/>
      <x:name val="等线"/>
    </x:font>
    <x:font>
      <x:sz val="11"/>
      <x:color theme="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7E0C6E"/>
      </x:patternFill>
    </x:fill>
    <x:fill>
      <x:patternFill patternType="solid">
        <x:fgColor rgb="FFF4EFF4"/>
      </x:patternFill>
    </x:fill>
    <x:fill>
      <x:patternFill patternType="solid">
        <x:fgColor rgb="FF7E0C6E"/>
      </x:patternFill>
    </x:fill>
    <x:fill>
      <x:patternFill patternType="solid">
        <x:fgColor rgb="FFF4EFF4"/>
      </x:patternFill>
    </x:fill>
    <x:fill>
      <x:patternFill patternType="solid">
        <x:fgColor rgb="FF7E0C6E"/>
      </x:patternFill>
    </x:fill>
    <x:fill>
      <x:patternFill patternType="solid">
        <x:fgColor rgb="FFF4EFF4"/>
      </x:patternFill>
    </x:fill>
  </x:fills>
  <x:borders count="5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C8BAC9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right"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right"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horizontal="right" vertical="center"/>
    </x:xf>
    <x:xf numFmtId="200" fontId="2" fillId="0" borderId="0" xfId="0" applyNumberFormat="1" applyFont="1" applyFill="1" applyBorder="1" applyAlignment="1">
      <x:alignment horizontal="right" vertical="center"/>
    </x:xf>
    <x:xf numFmtId="200" fontId="2" fillId="3" borderId="0" xfId="0" applyNumberFormat="1" applyFont="1" applyFill="1" applyBorder="1" applyAlignment="1">
      <x:alignment horizontal="right" vertical="center"/>
    </x:xf>
    <x:xf numFmtId="200" fontId="2" fillId="0" borderId="4" xfId="0" applyNumberFormat="1" applyFont="1" applyFill="1" applyBorder="1" applyAlignment="1">
      <x:alignment horizontal="right" vertical="center"/>
    </x:xf>
    <x:xf numFmtId="201" fontId="2" fillId="0" borderId="0" xfId="0" applyNumberFormat="1" applyFont="1" applyFill="1" applyBorder="1" applyAlignment="1">
      <x:alignment horizontal="right" vertical="center"/>
    </x:xf>
    <x:xf numFmtId="201" fontId="2" fillId="3" borderId="0" xfId="0" applyNumberFormat="1" applyFont="1" applyFill="1" applyBorder="1" applyAlignment="1">
      <x:alignment horizontal="right" vertical="center"/>
    </x:xf>
    <x:xf numFmtId="201" fontId="2" fillId="0" borderId="4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 applyAlignment="1">
      <x:alignment horizontal="right" vertical="center"/>
    </x:xf>
    <x:xf numFmtId="202" fontId="2" fillId="3" borderId="0" xfId="0" applyNumberFormat="1" applyFont="1" applyFill="1" applyBorder="1" applyAlignment="1">
      <x:alignment horizontal="right" vertical="center"/>
    </x:xf>
    <x:xf numFmtId="202" fontId="2" fillId="0" borderId="4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/>
    </x:xf>
    <x:xf numFmtId="203" fontId="2" fillId="0" borderId="0" xfId="0" applyNumberFormat="1" applyFont="1" applyFill="1" applyBorder="1" applyAlignment="1">
      <x:alignment horizontal="right" vertical="center"/>
    </x:xf>
    <x:xf numFmtId="203" fontId="2" fillId="3" borderId="0" xfId="0" applyNumberFormat="1" applyFont="1" applyFill="1" applyBorder="1" applyAlignment="1">
      <x:alignment horizontal="right" vertical="center"/>
    </x:xf>
    <x:xf numFmtId="203" fontId="2" fillId="0" borderId="4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horizontal="right" vertical="center"/>
    </x:xf>
    <x:xf numFmtId="203" fontId="2" fillId="3" borderId="4" xfId="0" applyNumberFormat="1" applyFont="1" applyFill="1" applyBorder="1" applyAlignment="1">
      <x:alignment horizontal="right" vertical="center"/>
    </x:xf>
    <x:xf numFmtId="201" fontId="2" fillId="3" borderId="4" xfId="0" applyNumberFormat="1" applyFont="1" applyFill="1" applyBorder="1" applyAlignment="1">
      <x:alignment horizontal="right" vertical="center"/>
    </x:xf>
    <x:xf numFmtId="204" fontId="2" fillId="0" borderId="0" xfId="0" applyNumberFormat="1" applyFont="1" applyFill="1" applyBorder="1" applyAlignment="1">
      <x:alignment horizontal="right" vertical="center"/>
    </x:xf>
    <x:xf numFmtId="204" fontId="2" fillId="3" borderId="4" xfId="0" applyNumberFormat="1" applyFont="1" applyFill="1" applyBorder="1" applyAlignment="1">
      <x:alignment horizontal="right" vertical="center"/>
    </x:xf>
    <x:xf numFmtId="201" fontId="2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4" xfId="0" applyNumberFormat="1" applyFont="1" applyFill="1" applyBorder="1"/>
    <x:xf numFmtId="0" fontId="4" fillId="0" borderId="0" xfId="0" applyNumberFormat="1" applyFont="1" applyFill="1" applyBorder="1"/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0" fontId="8" fillId="0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horizontal="right" vertical="center"/>
    </x:xf>
    <x:xf numFmtId="0" fontId="2" fillId="5" borderId="4" xfId="0" applyNumberFormat="1" applyFont="1" applyFill="1" applyBorder="1" applyAlignment="1">
      <x:alignment vertical="center"/>
    </x:xf>
    <x:xf numFmtId="0" fontId="2" fillId="5" borderId="4" xfId="0" applyNumberFormat="1" applyFont="1" applyFill="1" applyBorder="1" applyAlignment="1">
      <x:alignment horizontal="right" vertical="center"/>
    </x:xf>
    <x:xf numFmtId="201" fontId="2" fillId="5" borderId="0" xfId="0" applyNumberFormat="1" applyFont="1" applyFill="1" applyBorder="1" applyAlignment="1">
      <x:alignment horizontal="right" vertical="center"/>
    </x:xf>
    <x:xf numFmtId="201" fontId="2" fillId="5" borderId="4" xfId="0" applyNumberFormat="1" applyFont="1" applyFill="1" applyBorder="1" applyAlignment="1">
      <x:alignment horizontal="right" vertical="center"/>
    </x:xf>
    <x:xf numFmtId="202" fontId="2" fillId="5" borderId="0" xfId="0" applyNumberFormat="1" applyFont="1" applyFill="1" applyBorder="1" applyAlignment="1">
      <x:alignment horizontal="right" vertical="center"/>
    </x:xf>
    <x:xf numFmtId="202" fontId="2" fillId="5" borderId="4" xfId="0" applyNumberFormat="1" applyFont="1" applyFill="1" applyBorder="1" applyAlignment="1">
      <x:alignment horizontal="right" vertical="center"/>
    </x:xf>
    <x:xf numFmtId="0" fontId="2" fillId="5" borderId="0" xfId="0" applyNumberFormat="1" applyFont="1" applyFill="1" applyBorder="1" applyAlignment="1">
      <x:alignment vertical="center" wrapText="1"/>
    </x:xf>
    <x:xf numFmtId="0" fontId="2" fillId="5" borderId="4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right" vertical="center" wrapText="1"/>
    </x:xf>
    <x:xf numFmtId="0" fontId="2" fillId="5" borderId="0" xfId="0" applyNumberFormat="1" applyFont="1" applyFill="1" applyBorder="1" applyAlignment="1">
      <x:alignment horizontal="right" vertical="center" wrapText="1"/>
    </x:xf>
    <x:xf numFmtId="0" fontId="2" fillId="5" borderId="4" xfId="0" applyNumberFormat="1" applyFont="1" applyFill="1" applyBorder="1" applyAlignment="1">
      <x:alignment horizontal="right" vertical="center" wrapText="1"/>
    </x:xf>
    <x:xf numFmtId="204" fontId="2" fillId="5" borderId="0" xfId="0" applyNumberFormat="1" applyFont="1" applyFill="1" applyBorder="1" applyAlignment="1">
      <x:alignment horizontal="right" vertical="center"/>
    </x:xf>
    <x:xf numFmtId="204" fontId="2" fillId="0" borderId="4" xfId="0" applyNumberFormat="1" applyFont="1" applyFill="1" applyBorder="1" applyAlignment="1">
      <x:alignment horizontal="right" vertical="center"/>
    </x:xf>
    <x:xf numFmtId="0" fontId="2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horizontal="right" vertical="center"/>
    </x:xf>
    <x:xf numFmtId="0" fontId="2" fillId="7" borderId="4" xfId="0" applyNumberFormat="1" applyFont="1" applyFill="1" applyBorder="1" applyAlignment="1">
      <x:alignment vertical="center"/>
    </x:xf>
    <x:xf numFmtId="0" fontId="2" fillId="7" borderId="4" xfId="0" applyNumberFormat="1" applyFont="1" applyFill="1" applyBorder="1" applyAlignment="1">
      <x:alignment horizontal="right" vertical="center"/>
    </x:xf>
    <x:xf numFmtId="201" fontId="2" fillId="7" borderId="0" xfId="0" applyNumberFormat="1" applyFont="1" applyFill="1" applyBorder="1" applyAlignment="1">
      <x:alignment horizontal="right" vertical="center"/>
    </x:xf>
    <x:xf numFmtId="201" fontId="2" fillId="7" borderId="4" xfId="0" applyNumberFormat="1" applyFont="1" applyFill="1" applyBorder="1" applyAlignment="1">
      <x:alignment horizontal="right" vertical="center"/>
    </x:xf>
    <x:xf numFmtId="202" fontId="2" fillId="7" borderId="0" xfId="0" applyNumberFormat="1" applyFont="1" applyFill="1" applyBorder="1" applyAlignment="1">
      <x:alignment horizontal="right" vertical="center"/>
    </x:xf>
    <x:xf numFmtId="202" fontId="2" fillId="7" borderId="4" xfId="0" applyNumberFormat="1" applyFont="1" applyFill="1" applyBorder="1" applyAlignment="1">
      <x:alignment horizontal="right" vertical="center"/>
    </x:xf>
    <x:xf numFmtId="0" fontId="2" fillId="7" borderId="0" xfId="0" applyNumberFormat="1" applyFont="1" applyFill="1" applyBorder="1" applyAlignment="1">
      <x:alignment vertical="center" wrapText="1"/>
    </x:xf>
    <x:xf numFmtId="0" fontId="2" fillId="7" borderId="4" xfId="0" applyNumberFormat="1" applyFont="1" applyFill="1" applyBorder="1" applyAlignment="1">
      <x:alignment vertical="center" wrapText="1"/>
    </x:xf>
    <x:xf numFmtId="0" fontId="2" fillId="7" borderId="0" xfId="0" applyNumberFormat="1" applyFont="1" applyFill="1" applyBorder="1" applyAlignment="1">
      <x:alignment horizontal="right" vertical="center" wrapText="1"/>
    </x:xf>
    <x:xf numFmtId="0" fontId="2" fillId="7" borderId="4" xfId="0" applyNumberFormat="1" applyFont="1" applyFill="1" applyBorder="1" applyAlignment="1">
      <x:alignment horizontal="right" vertical="center" wrapText="1"/>
    </x:xf>
    <x:xf numFmtId="204" fontId="2" fillId="7" borderId="0" xfId="0" applyNumberFormat="1" applyFont="1" applyFill="1" applyBorder="1" applyAlignment="1">
      <x:alignment horizontal="right" vertical="center"/>
    </x:xf>
  </x:cellXfs>
  <x:cellStyles count="1">
    <x:cellStyle name="常规" xfId="0"/>
  </x:cellStyles>
  <x:dxfs count="4">
    <x:dxf>
      <x:font>
        <x:b/>
        <x:color rgb="FF2D5828"/>
      </x:font>
      <x:fill>
        <x:patternFill>
          <x:bgColor rgb="FFE5EEE3"/>
        </x:patternFill>
      </x:fill>
    </x:dxf>
    <x:dxf>
      <x:font>
        <x:b/>
        <x:color rgb="FF2D5828"/>
      </x:font>
      <x:fill>
        <x:patternFill>
          <x:bgColor rgb="FFE5EEE3"/>
        </x:patternFill>
      </x:fill>
    </x:dxf>
    <x:dxf>
      <x:font>
        <x:b/>
        <x:color rgb="FF2D5828"/>
      </x:font>
      <x:fill>
        <x:patternFill>
          <x:bgColor rgb="FFE5EEE3"/>
        </x:patternFill>
      </x:fill>
    </x:dxf>
    <x:dxf>
      <x:font>
        <x:b/>
        <x:color rgb="FF2D5828"/>
      </x:font>
      <x:fill>
        <x:patternFill patternType="solid">
          <x:bgColor rgb="FFE5EE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2c4f3be53d4232" /><Relationship Type="http://schemas.openxmlformats.org/officeDocument/2006/relationships/theme" Target="/xl/theme/theme1.xml" Id="R40433851fe7a4e1f" /><Relationship Type="http://schemas.openxmlformats.org/officeDocument/2006/relationships/sharedStrings" Target="/xl/sharedStrings.xml" Id="R28b353da30df415e" /><Relationship Type="http://schemas.openxmlformats.org/officeDocument/2006/relationships/worksheet" Target="/xl/worksheets/sheet1.xml" Id="R6be2a5663a2041ab" /><Relationship Type="http://schemas.openxmlformats.org/officeDocument/2006/relationships/worksheet" Target="/xl/worksheets/sheet2.xml" Id="R4501040b256c4ac9" /><Relationship Type="http://schemas.openxmlformats.org/officeDocument/2006/relationships/worksheet" Target="/xl/worksheets/sheet3.xml" Id="Rfe83d5f852314e79" /><Relationship Type="http://schemas.openxmlformats.org/officeDocument/2006/relationships/worksheet" Target="/xl/worksheets/sheet4.xml" Id="R0fe4d1f3c14946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5f541631aa4c6a" /><Relationship Type="http://schemas.openxmlformats.org/officeDocument/2006/relationships/chart" Target="/xl/drawings/charts/chart2.xml" Id="Rb1cada467d924104" /><Relationship Type="http://schemas.openxmlformats.org/officeDocument/2006/relationships/chart" Target="/xl/drawings/charts/chart3.xml" Id="Rc62ac7fba53a4ff2" /><Relationship Type="http://schemas.openxmlformats.org/officeDocument/2006/relationships/chart" Target="/xl/drawings/charts/chart4.xml" Id="Racdd3c8b6db849f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三题：均分与总成本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ser>
          <c:idx val="0"/>
          <c:order val="0"/>
          <c:tx>
            <c:v>Astra high</c:v>
          </c:tx>
          <c:spPr>
            <a:solidFill xmlns:a="http://schemas.openxmlformats.org/drawingml/2006/main">
              <a:srgbClr val="7E0C6E"/>
            </a:solidFill>
          </c:spPr>
          <c:xVal>
            <c:numLit>
              <c:formatCode>General</c:formatCode>
              <c:ptCount val="1"/>
              <c:pt idx="0">
                <c:v>1.1574567681342256</c:v>
              </c:pt>
            </c:numLit>
          </c:xVal>
          <c:yVal>
            <c:numRef>
              <c:f>'综合汇总'!$P$6</c:f>
              <c:numCache>
                <c:formatCode>0</c:formatCode>
                <c:ptCount val="1"/>
                <c:pt idx="0">
                  <c:v>95.66666666666667</c:v>
                </c:pt>
              </c:numCache>
            </c:numRef>
          </c:yVal>
        </c:ser>
        <c:ser>
          <c:idx val="1"/>
          <c:order val="1"/>
          <c:tx>
            <c:v>Sol max</c:v>
          </c:tx>
          <c:spPr>
            <a:solidFill xmlns:a="http://schemas.openxmlformats.org/drawingml/2006/main">
              <a:srgbClr val="167E9A"/>
            </a:solidFill>
          </c:spPr>
          <c:xVal>
            <c:numLit>
              <c:formatCode>General</c:formatCode>
              <c:ptCount val="1"/>
              <c:pt idx="0">
                <c:v>0.916559219301114</c:v>
              </c:pt>
            </c:numLit>
          </c:xVal>
          <c:yVal>
            <c:numRef>
              <c:f>'综合汇总'!$P$7</c:f>
              <c:numCache>
                <c:formatCode>0</c:formatCode>
                <c:ptCount val="1"/>
                <c:pt idx="0">
                  <c:v>94.33333333333333</c:v>
                </c:pt>
              </c:numCache>
            </c:numRef>
          </c:yVal>
        </c:ser>
        <c:ser>
          <c:idx val="2"/>
          <c:order val="2"/>
          <c:tx>
            <c:v>Opus 5.5 xhigh</c:v>
          </c:tx>
          <c:spPr>
            <a:solidFill xmlns:a="http://schemas.openxmlformats.org/drawingml/2006/main">
              <a:srgbClr val="BE644B"/>
            </a:solidFill>
          </c:spPr>
          <c:xVal>
            <c:numLit>
              <c:formatCode>General</c:formatCode>
              <c:ptCount val="1"/>
              <c:pt idx="0">
                <c:v>1.705607163404605</c:v>
              </c:pt>
            </c:numLit>
          </c:xVal>
          <c:yVal>
            <c:numRef>
              <c:f>'综合汇总'!$P$8</c:f>
              <c:numCache>
                <c:formatCode>0</c:formatCode>
                <c:ptCount val="1"/>
                <c:pt idx="0">
                  <c:v>87</c:v>
                </c:pt>
              </c:numCache>
            </c:numRef>
          </c:yVal>
        </c:ser>
        <c:ser>
          <c:idx val="3"/>
          <c:order val="3"/>
          <c:tx>
            <c:v>Sol xhigh</c:v>
          </c:tx>
          <c:spPr>
            <a:solidFill xmlns:a="http://schemas.openxmlformats.org/drawingml/2006/main">
              <a:srgbClr val="478B42"/>
            </a:solidFill>
          </c:spPr>
          <c:xVal>
            <c:numLit>
              <c:formatCode>General</c:formatCode>
              <c:ptCount val="1"/>
              <c:pt idx="0">
                <c:v>0.7912694809102685</c:v>
              </c:pt>
            </c:numLit>
          </c:xVal>
          <c:yVal>
            <c:numRef>
              <c:f>'综合汇总'!$P$9</c:f>
              <c:numCache>
                <c:formatCode>0</c:formatCode>
                <c:ptCount val="1"/>
                <c:pt idx="0">
                  <c:v>78.66666666666667</c:v>
                </c:pt>
              </c:numCache>
            </c:numRef>
          </c:yVal>
        </c:ser>
        <c:ser>
          <c:idx val="4"/>
          <c:order val="4"/>
          <c:tx>
            <c:v>5.6 Sol xhigh</c:v>
          </c:tx>
          <c:spPr>
            <a:solidFill xmlns:a="http://schemas.openxmlformats.org/drawingml/2006/main">
              <a:srgbClr val="52677E"/>
            </a:solidFill>
          </c:spPr>
          <c:xVal>
            <c:numLit>
              <c:formatCode>General</c:formatCode>
              <c:ptCount val="1"/>
              <c:pt idx="0">
                <c:v>1.318167720128966</c:v>
              </c:pt>
            </c:numLit>
          </c:xVal>
          <c:yVal>
            <c:numRef>
              <c:f>'综合汇总'!$P$10</c:f>
              <c:numCache>
                <c:formatCode>0</c:formatCode>
                <c:ptCount val="1"/>
                <c:pt idx="0">
                  <c:v>75.33333333333333</c:v>
                </c:pt>
              </c:numCache>
            </c:numRef>
          </c:yVal>
        </c:ser>
        <c:ser>
          <c:idx val="5"/>
          <c:order val="5"/>
          <c:tx>
            <c:v>Luna max</c:v>
          </c:tx>
          <c:spPr>
            <a:solidFill xmlns:a="http://schemas.openxmlformats.org/drawingml/2006/main">
              <a:srgbClr val="C88700"/>
            </a:solidFill>
          </c:spPr>
          <c:xVal>
            <c:numLit>
              <c:formatCode>General</c:formatCode>
              <c:ptCount val="1"/>
              <c:pt idx="0">
                <c:v>-0.3334820194451191</c:v>
              </c:pt>
            </c:numLit>
          </c:xVal>
          <c:yVal>
            <c:numRef>
              <c:f>'综合汇总'!$P$11</c:f>
              <c:numCache>
                <c:formatCode>0</c:formatCode>
                <c:ptCount val="1"/>
                <c:pt idx="0">
                  <c:v>71.66666666666667</c:v>
                </c:pt>
              </c:numCache>
            </c:numRef>
          </c:yVal>
        </c:ser>
        <c:ser>
          <c:idx val="6"/>
          <c:order val="6"/>
          <c:tx>
            <c:v>DeepSeek Flash max</c:v>
          </c:tx>
          <c:spPr>
            <a:solidFill xmlns:a="http://schemas.openxmlformats.org/drawingml/2006/main">
              <a:srgbClr val="6857B1"/>
            </a:solidFill>
          </c:spPr>
          <c:xVal>
            <c:numLit>
              <c:formatCode>General</c:formatCode>
              <c:ptCount val="1"/>
              <c:pt idx="0">
                <c:v>0.12090281761452719</c:v>
              </c:pt>
            </c:numLit>
          </c:xVal>
          <c:yVal>
            <c:numRef>
              <c:f>'综合汇总'!$P$12</c:f>
              <c:numCache>
                <c:formatCode>0</c:formatCode>
                <c:ptCount val="1"/>
                <c:pt idx="0">
                  <c:v>58.666666666666664</c:v>
                </c:pt>
              </c:numCache>
            </c:numRef>
          </c:yVal>
        </c:ser>
        <c:ser>
          <c:idx val="7"/>
          <c:order val="7"/>
          <c:tx>
            <c:v>Grok 4.7 high</c:v>
          </c:tx>
          <c:spPr>
            <a:solidFill xmlns:a="http://schemas.openxmlformats.org/drawingml/2006/main">
              <a:srgbClr val="888888"/>
            </a:solidFill>
          </c:spPr>
          <c:xVal>
            <c:numLit>
              <c:formatCode>General</c:formatCode>
              <c:ptCount val="1"/>
              <c:pt idx="0">
                <c:v>1.1666077030839104</c:v>
              </c:pt>
            </c:numLit>
          </c:xVal>
          <c:yVal>
            <c:numRef>
              <c:f>'综合汇总'!$P$13</c:f>
              <c:numCache>
                <c:formatCode>0</c:formatCode>
                <c:ptCount val="1"/>
                <c:pt idx="0">
                  <c:v>56.333333333333336</c:v>
                </c:pt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4763">
              <a:solidFill>
                <a:srgbClr val="E4E1E6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750"/>
                  <a:t>Score / 100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/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750"/>
                  <a:t>log10(USD)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/>
              </a:pPr>
            </a:p>
          </c:txPr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0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第 1 题：得分与实际成本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ser>
          <c:idx val="0"/>
          <c:order val="0"/>
          <c:tx>
            <c:v>Sol max</c:v>
          </c:tx>
          <c:spPr>
            <a:solidFill xmlns:a="http://schemas.openxmlformats.org/drawingml/2006/main">
              <a:srgbClr val="167E9A"/>
            </a:solidFill>
          </c:spPr>
          <c:xVal>
            <c:numLit>
              <c:formatCode>General</c:formatCode>
              <c:ptCount val="1"/>
              <c:pt idx="0">
                <c:v>0.6146863422820126</c:v>
              </c:pt>
            </c:numLit>
          </c:xVal>
          <c:yVal>
            <c:numRef>
              <c:f>'综合汇总'!$P$19</c:f>
              <c:numCache>
                <c:formatCode>0</c:formatCode>
                <c:ptCount val="1"/>
                <c:pt idx="0">
                  <c:v>94</c:v>
                </c:pt>
              </c:numCache>
            </c:numRef>
          </c:yVal>
        </c:ser>
        <c:ser>
          <c:idx val="1"/>
          <c:order val="1"/>
          <c:tx>
            <c:v>Astra high</c:v>
          </c:tx>
          <c:spPr>
            <a:solidFill xmlns:a="http://schemas.openxmlformats.org/drawingml/2006/main">
              <a:srgbClr val="7E0C6E"/>
            </a:solidFill>
          </c:spPr>
          <c:xVal>
            <c:numLit>
              <c:formatCode>General</c:formatCode>
              <c:ptCount val="1"/>
              <c:pt idx="0">
                <c:v>0.7492724082984203</c:v>
              </c:pt>
            </c:numLit>
          </c:xVal>
          <c:yVal>
            <c:numRef>
              <c:f>'综合汇总'!$P$20</c:f>
              <c:numCache>
                <c:formatCode>0</c:formatCode>
                <c:ptCount val="1"/>
                <c:pt idx="0">
                  <c:v>92</c:v>
                </c:pt>
              </c:numCache>
            </c:numRef>
          </c:yVal>
        </c:ser>
        <c:ser>
          <c:idx val="2"/>
          <c:order val="2"/>
          <c:tx>
            <c:v>Opus 5.5 xhigh</c:v>
          </c:tx>
          <c:spPr>
            <a:solidFill xmlns:a="http://schemas.openxmlformats.org/drawingml/2006/main">
              <a:srgbClr val="BE644B"/>
            </a:solidFill>
          </c:spPr>
          <c:xVal>
            <c:numLit>
              <c:formatCode>General</c:formatCode>
              <c:ptCount val="1"/>
              <c:pt idx="0">
                <c:v>1.3812234150924612</c:v>
              </c:pt>
            </c:numLit>
          </c:xVal>
          <c:yVal>
            <c:numRef>
              <c:f>'综合汇总'!$P$21</c:f>
              <c:numCache>
                <c:formatCode>0</c:formatCode>
                <c:ptCount val="1"/>
                <c:pt idx="0">
                  <c:v>87</c:v>
                </c:pt>
              </c:numCache>
            </c:numRef>
          </c:yVal>
        </c:ser>
        <c:ser>
          <c:idx val="3"/>
          <c:order val="3"/>
          <c:tx>
            <c:v>5.6 Sol xhigh</c:v>
          </c:tx>
          <c:spPr>
            <a:solidFill xmlns:a="http://schemas.openxmlformats.org/drawingml/2006/main">
              <a:srgbClr val="52677E"/>
            </a:solidFill>
          </c:spPr>
          <c:xVal>
            <c:numLit>
              <c:formatCode>General</c:formatCode>
              <c:ptCount val="1"/>
              <c:pt idx="0">
                <c:v>0.6108730003800517</c:v>
              </c:pt>
            </c:numLit>
          </c:xVal>
          <c:yVal>
            <c:numRef>
              <c:f>'综合汇总'!$P$22</c:f>
              <c:numCache>
                <c:formatCode>0</c:formatCode>
                <c:ptCount val="1"/>
                <c:pt idx="0">
                  <c:v>57</c:v>
                </c:pt>
              </c:numCache>
            </c:numRef>
          </c:yVal>
        </c:ser>
        <c:ser>
          <c:idx val="4"/>
          <c:order val="4"/>
          <c:tx>
            <c:v>Sol xhigh</c:v>
          </c:tx>
          <c:spPr>
            <a:solidFill xmlns:a="http://schemas.openxmlformats.org/drawingml/2006/main">
              <a:srgbClr val="478B42"/>
            </a:solidFill>
          </c:spPr>
          <c:xVal>
            <c:numLit>
              <c:formatCode>General</c:formatCode>
              <c:ptCount val="1"/>
              <c:pt idx="0">
                <c:v>0.3776704393343231</c:v>
              </c:pt>
            </c:numLit>
          </c:xVal>
          <c:yVal>
            <c:numRef>
              <c:f>'综合汇总'!$P$23</c:f>
              <c:numCache>
                <c:formatCode>0</c:formatCode>
                <c:ptCount val="1"/>
                <c:pt idx="0">
                  <c:v>54</c:v>
                </c:pt>
              </c:numCache>
            </c:numRef>
          </c:yVal>
        </c:ser>
        <c:ser>
          <c:idx val="5"/>
          <c:order val="5"/>
          <c:tx>
            <c:v>Luna max</c:v>
          </c:tx>
          <c:spPr>
            <a:solidFill xmlns:a="http://schemas.openxmlformats.org/drawingml/2006/main">
              <a:srgbClr val="C88700"/>
            </a:solidFill>
          </c:spPr>
          <c:xVal>
            <c:numLit>
              <c:formatCode>General</c:formatCode>
              <c:ptCount val="1"/>
              <c:pt idx="0">
                <c:v>-0.7495799976911061</c:v>
              </c:pt>
            </c:numLit>
          </c:xVal>
          <c:yVal>
            <c:numRef>
              <c:f>'综合汇总'!$P$24</c:f>
              <c:numCache>
                <c:formatCode>0</c:formatCode>
                <c:ptCount val="1"/>
                <c:pt idx="0">
                  <c:v>53</c:v>
                </c:pt>
              </c:numCache>
            </c:numRef>
          </c:yVal>
        </c:ser>
        <c:ser>
          <c:idx val="6"/>
          <c:order val="6"/>
          <c:tx>
            <c:v>DeepSeek Flash max</c:v>
          </c:tx>
          <c:spPr>
            <a:solidFill xmlns:a="http://schemas.openxmlformats.org/drawingml/2006/main">
              <a:srgbClr val="6857B1"/>
            </a:solidFill>
          </c:spPr>
          <c:xVal>
            <c:numLit>
              <c:formatCode>General</c:formatCode>
              <c:ptCount val="1"/>
              <c:pt idx="0">
                <c:v>-0.3829996588791011</c:v>
              </c:pt>
            </c:numLit>
          </c:xVal>
          <c:yVal>
            <c:numRef>
              <c:f>'综合汇总'!$P$25</c:f>
              <c:numCache>
                <c:formatCode>0</c:formatCode>
                <c:ptCount val="1"/>
                <c:pt idx="0">
                  <c:v>47</c:v>
                </c:pt>
              </c:numCache>
            </c:numRef>
          </c:yVal>
        </c:ser>
        <c:ser>
          <c:idx val="7"/>
          <c:order val="7"/>
          <c:tx>
            <c:v>Grok 4.7 high</c:v>
          </c:tx>
          <c:spPr>
            <a:solidFill xmlns:a="http://schemas.openxmlformats.org/drawingml/2006/main">
              <a:srgbClr val="888888"/>
            </a:solidFill>
          </c:spPr>
          <c:xVal>
            <c:numLit>
              <c:formatCode>General</c:formatCode>
              <c:ptCount val="1"/>
              <c:pt idx="0">
                <c:v>0.6545615547417433</c:v>
              </c:pt>
            </c:numLit>
          </c:xVal>
          <c:yVal>
            <c:numRef>
              <c:f>'综合汇总'!$P$26</c:f>
              <c:numCache>
                <c:formatCode>0</c:formatCode>
                <c:ptCount val="1"/>
                <c:pt idx="0">
                  <c:v>30</c:v>
                </c:pt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4763">
              <a:solidFill>
                <a:srgbClr val="E4E1E6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750"/>
                  <a:t>Score / 100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/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750"/>
                  <a:t>log10(USD)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/>
              </a:pPr>
            </a:p>
          </c:txPr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0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第 2 题：得分与实际成本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ser>
          <c:idx val="0"/>
          <c:order val="0"/>
          <c:tx>
            <c:v>Astra high</c:v>
          </c:tx>
          <c:spPr>
            <a:solidFill xmlns:a="http://schemas.openxmlformats.org/drawingml/2006/main">
              <a:srgbClr val="7E0C6E"/>
            </a:solidFill>
          </c:spPr>
          <c:xVal>
            <c:numLit>
              <c:formatCode>General</c:formatCode>
              <c:ptCount val="1"/>
              <c:pt idx="0">
                <c:v>0.6580113966571124</c:v>
              </c:pt>
            </c:numLit>
          </c:xVal>
          <c:yVal>
            <c:numRef>
              <c:f>'综合汇总'!$P$31</c:f>
              <c:numCache>
                <c:formatCode>0</c:formatCode>
                <c:ptCount val="1"/>
                <c:pt idx="0">
                  <c:v>97</c:v>
                </c:pt>
              </c:numCache>
            </c:numRef>
          </c:yVal>
        </c:ser>
        <c:ser>
          <c:idx val="1"/>
          <c:order val="1"/>
          <c:tx>
            <c:v>Sol max</c:v>
          </c:tx>
          <c:spPr>
            <a:solidFill xmlns:a="http://schemas.openxmlformats.org/drawingml/2006/main">
              <a:srgbClr val="167E9A"/>
            </a:solidFill>
          </c:spPr>
          <c:xVal>
            <c:numLit>
              <c:formatCode>General</c:formatCode>
              <c:ptCount val="1"/>
              <c:pt idx="0">
                <c:v>0.25863728272407643</c:v>
              </c:pt>
            </c:numLit>
          </c:xVal>
          <c:yVal>
            <c:numRef>
              <c:f>'综合汇总'!$P$32</c:f>
              <c:numCache>
                <c:formatCode>0</c:formatCode>
                <c:ptCount val="1"/>
                <c:pt idx="0">
                  <c:v>94</c:v>
                </c:pt>
              </c:numCache>
            </c:numRef>
          </c:yVal>
        </c:ser>
        <c:ser>
          <c:idx val="2"/>
          <c:order val="2"/>
          <c:tx>
            <c:v>Opus 5.5 xhigh</c:v>
          </c:tx>
          <c:spPr>
            <a:solidFill xmlns:a="http://schemas.openxmlformats.org/drawingml/2006/main">
              <a:srgbClr val="BE644B"/>
            </a:solidFill>
          </c:spPr>
          <c:xVal>
            <c:numLit>
              <c:formatCode>General</c:formatCode>
              <c:ptCount val="1"/>
              <c:pt idx="0">
                <c:v>1.0909630765957317</c:v>
              </c:pt>
            </c:numLit>
          </c:xVal>
          <c:yVal>
            <c:numRef>
              <c:f>'综合汇总'!$P$33</c:f>
              <c:numCache>
                <c:formatCode>0</c:formatCode>
                <c:ptCount val="1"/>
                <c:pt idx="0">
                  <c:v>93</c:v>
                </c:pt>
              </c:numCache>
            </c:numRef>
          </c:yVal>
        </c:ser>
        <c:ser>
          <c:idx val="3"/>
          <c:order val="3"/>
          <c:tx>
            <c:v>Sol xhigh</c:v>
          </c:tx>
          <c:spPr>
            <a:solidFill xmlns:a="http://schemas.openxmlformats.org/drawingml/2006/main">
              <a:srgbClr val="478B42"/>
            </a:solidFill>
          </c:spPr>
          <c:xVal>
            <c:numLit>
              <c:formatCode>General</c:formatCode>
              <c:ptCount val="1"/>
              <c:pt idx="0">
                <c:v>0.3334472744967504</c:v>
              </c:pt>
            </c:numLit>
          </c:xVal>
          <c:yVal>
            <c:numRef>
              <c:f>'综合汇总'!$P$34</c:f>
              <c:numCache>
                <c:formatCode>0</c:formatCode>
                <c:ptCount val="1"/>
                <c:pt idx="0">
                  <c:v>92</c:v>
                </c:pt>
              </c:numCache>
            </c:numRef>
          </c:yVal>
        </c:ser>
        <c:ser>
          <c:idx val="4"/>
          <c:order val="4"/>
          <c:tx>
            <c:v>5.6 Sol xhigh</c:v>
          </c:tx>
          <c:spPr>
            <a:solidFill xmlns:a="http://schemas.openxmlformats.org/drawingml/2006/main">
              <a:srgbClr val="52677E"/>
            </a:solidFill>
          </c:spPr>
          <c:xVal>
            <c:numLit>
              <c:formatCode>General</c:formatCode>
              <c:ptCount val="1"/>
              <c:pt idx="0">
                <c:v>0.44138088491651134</c:v>
              </c:pt>
            </c:numLit>
          </c:xVal>
          <c:yVal>
            <c:numRef>
              <c:f>'综合汇总'!$P$35</c:f>
              <c:numCache>
                <c:formatCode>0</c:formatCode>
                <c:ptCount val="1"/>
                <c:pt idx="0">
                  <c:v>87</c:v>
                </c:pt>
              </c:numCache>
            </c:numRef>
          </c:yVal>
        </c:ser>
        <c:ser>
          <c:idx val="5"/>
          <c:order val="5"/>
          <c:tx>
            <c:v>Luna max</c:v>
          </c:tx>
          <c:spPr>
            <a:solidFill xmlns:a="http://schemas.openxmlformats.org/drawingml/2006/main">
              <a:srgbClr val="C88700"/>
            </a:solidFill>
          </c:spPr>
          <c:xVal>
            <c:numLit>
              <c:formatCode>General</c:formatCode>
              <c:ptCount val="1"/>
              <c:pt idx="0">
                <c:v>-0.8446639625349383</c:v>
              </c:pt>
            </c:numLit>
          </c:xVal>
          <c:yVal>
            <c:numRef>
              <c:f>'综合汇总'!$P$36</c:f>
              <c:numCache>
                <c:formatCode>0</c:formatCode>
                <c:ptCount val="1"/>
                <c:pt idx="0">
                  <c:v>86</c:v>
                </c:pt>
              </c:numCache>
            </c:numRef>
          </c:yVal>
        </c:ser>
        <c:ser>
          <c:idx val="6"/>
          <c:order val="6"/>
          <c:tx>
            <c:v>DeepSeek Flash max</c:v>
          </c:tx>
          <c:spPr>
            <a:solidFill xmlns:a="http://schemas.openxmlformats.org/drawingml/2006/main">
              <a:srgbClr val="6857B1"/>
            </a:solidFill>
          </c:spPr>
          <c:xVal>
            <c:numLit>
              <c:formatCode>General</c:formatCode>
              <c:ptCount val="1"/>
              <c:pt idx="0">
                <c:v>-0.36653154442041347</c:v>
              </c:pt>
            </c:numLit>
          </c:xVal>
          <c:yVal>
            <c:numRef>
              <c:f>'综合汇总'!$P$37</c:f>
              <c:numCache>
                <c:formatCode>0</c:formatCode>
                <c:ptCount val="1"/>
                <c:pt idx="0">
                  <c:v>75</c:v>
                </c:pt>
              </c:numCache>
            </c:numRef>
          </c:yVal>
        </c:ser>
        <c:ser>
          <c:idx val="7"/>
          <c:order val="7"/>
          <c:tx>
            <c:v>Grok 4.7 high</c:v>
          </c:tx>
          <c:spPr>
            <a:solidFill xmlns:a="http://schemas.openxmlformats.org/drawingml/2006/main">
              <a:srgbClr val="888888"/>
            </a:solidFill>
          </c:spPr>
          <c:xVal>
            <c:numLit>
              <c:formatCode>General</c:formatCode>
              <c:ptCount val="1"/>
              <c:pt idx="0">
                <c:v>0.6308345178280506</c:v>
              </c:pt>
            </c:numLit>
          </c:xVal>
          <c:yVal>
            <c:numRef>
              <c:f>'综合汇总'!$P$38</c:f>
              <c:numCache>
                <c:formatCode>0</c:formatCode>
                <c:ptCount val="1"/>
                <c:pt idx="0">
                  <c:v>69</c:v>
                </c:pt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4763">
              <a:solidFill>
                <a:srgbClr val="E4E1E6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750"/>
                  <a:t>Score / 100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/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750"/>
                  <a:t>log10(USD)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/>
              </a:pPr>
            </a:p>
          </c:txPr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0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第 3 题：得分与实际成本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ser>
          <c:idx val="0"/>
          <c:order val="0"/>
          <c:tx>
            <c:v>Astra high</c:v>
          </c:tx>
          <c:spPr>
            <a:solidFill xmlns:a="http://schemas.openxmlformats.org/drawingml/2006/main">
              <a:srgbClr val="7E0C6E"/>
            </a:solidFill>
          </c:spPr>
          <c:xVal>
            <c:numLit>
              <c:formatCode>General</c:formatCode>
              <c:ptCount val="1"/>
              <c:pt idx="0">
                <c:v>0.6238692683503023</c:v>
              </c:pt>
            </c:numLit>
          </c:xVal>
          <c:yVal>
            <c:numRef>
              <c:f>'综合汇总'!$P$43</c:f>
              <c:numCache>
                <c:formatCode>0</c:formatCode>
                <c:ptCount val="1"/>
                <c:pt idx="0">
                  <c:v>98</c:v>
                </c:pt>
              </c:numCache>
            </c:numRef>
          </c:yVal>
        </c:ser>
        <c:ser>
          <c:idx val="1"/>
          <c:order val="1"/>
          <c:tx>
            <c:v>Sol max</c:v>
          </c:tx>
          <c:spPr>
            <a:solidFill xmlns:a="http://schemas.openxmlformats.org/drawingml/2006/main">
              <a:srgbClr val="167E9A"/>
            </a:solidFill>
          </c:spPr>
          <c:xVal>
            <c:numLit>
              <c:formatCode>General</c:formatCode>
              <c:ptCount val="1"/>
              <c:pt idx="0">
                <c:v>0.3654879848908996</c:v>
              </c:pt>
            </c:numLit>
          </c:xVal>
          <c:yVal>
            <c:numRef>
              <c:f>'综合汇总'!$P$44</c:f>
              <c:numCache>
                <c:formatCode>0</c:formatCode>
                <c:ptCount val="1"/>
                <c:pt idx="0">
                  <c:v>95</c:v>
                </c:pt>
              </c:numCache>
            </c:numRef>
          </c:yVal>
        </c:ser>
        <c:ser>
          <c:idx val="2"/>
          <c:order val="2"/>
          <c:tx>
            <c:v>Sol xhigh</c:v>
          </c:tx>
          <c:spPr>
            <a:solidFill xmlns:a="http://schemas.openxmlformats.org/drawingml/2006/main">
              <a:srgbClr val="478B42"/>
            </a:solidFill>
          </c:spPr>
          <c:xVal>
            <c:numLit>
              <c:formatCode>General</c:formatCode>
              <c:ptCount val="1"/>
              <c:pt idx="0">
                <c:v>0.2156375634350617</c:v>
              </c:pt>
            </c:numLit>
          </c:xVal>
          <c:yVal>
            <c:numRef>
              <c:f>'综合汇总'!$P$45</c:f>
              <c:numCache>
                <c:formatCode>0</c:formatCode>
                <c:ptCount val="1"/>
                <c:pt idx="0">
                  <c:v>90</c:v>
                </c:pt>
              </c:numCache>
            </c:numRef>
          </c:yVal>
        </c:ser>
        <c:ser>
          <c:idx val="3"/>
          <c:order val="3"/>
          <c:tx>
            <c:v>5.6 Sol xhigh</c:v>
          </c:tx>
          <c:spPr>
            <a:solidFill xmlns:a="http://schemas.openxmlformats.org/drawingml/2006/main">
              <a:srgbClr val="52677E"/>
            </a:solidFill>
          </c:spPr>
          <c:xVal>
            <c:numLit>
              <c:formatCode>General</c:formatCode>
              <c:ptCount val="1"/>
              <c:pt idx="0">
                <c:v>1.1448854182871424</c:v>
              </c:pt>
            </c:numLit>
          </c:xVal>
          <c:yVal>
            <c:numRef>
              <c:f>'综合汇总'!$P$46</c:f>
              <c:numCache>
                <c:formatCode>0</c:formatCode>
                <c:ptCount val="1"/>
                <c:pt idx="0">
                  <c:v>82</c:v>
                </c:pt>
              </c:numCache>
            </c:numRef>
          </c:yVal>
        </c:ser>
        <c:ser>
          <c:idx val="4"/>
          <c:order val="4"/>
          <c:tx>
            <c:v>Opus 5.5 xhigh</c:v>
          </c:tx>
          <c:spPr>
            <a:solidFill xmlns:a="http://schemas.openxmlformats.org/drawingml/2006/main">
              <a:srgbClr val="BE644B"/>
            </a:solidFill>
          </c:spPr>
          <c:xVal>
            <c:numLit>
              <c:formatCode>General</c:formatCode>
              <c:ptCount val="1"/>
              <c:pt idx="0">
                <c:v>1.1578796743891535</c:v>
              </c:pt>
            </c:numLit>
          </c:xVal>
          <c:yVal>
            <c:numRef>
              <c:f>'综合汇总'!$P$47</c:f>
              <c:numCache>
                <c:formatCode>0</c:formatCode>
                <c:ptCount val="1"/>
                <c:pt idx="0">
                  <c:v>81</c:v>
                </c:pt>
              </c:numCache>
            </c:numRef>
          </c:yVal>
        </c:ser>
        <c:ser>
          <c:idx val="5"/>
          <c:order val="5"/>
          <c:tx>
            <c:v>Luna max</c:v>
          </c:tx>
          <c:spPr>
            <a:solidFill xmlns:a="http://schemas.openxmlformats.org/drawingml/2006/main">
              <a:srgbClr val="C88700"/>
            </a:solidFill>
          </c:spPr>
          <c:xVal>
            <c:numLit>
              <c:formatCode>General</c:formatCode>
              <c:ptCount val="1"/>
              <c:pt idx="0">
                <c:v>-0.8446639625349383</c:v>
              </c:pt>
            </c:numLit>
          </c:xVal>
          <c:yVal>
            <c:numRef>
              <c:f>'综合汇总'!$P$48</c:f>
              <c:numCache>
                <c:formatCode>0</c:formatCode>
                <c:ptCount val="1"/>
                <c:pt idx="0">
                  <c:v>76</c:v>
                </c:pt>
              </c:numCache>
            </c:numRef>
          </c:yVal>
        </c:ser>
        <c:ser>
          <c:idx val="6"/>
          <c:order val="6"/>
          <c:tx>
            <c:v>Grok 4.7 high</c:v>
          </c:tx>
          <c:spPr>
            <a:solidFill xmlns:a="http://schemas.openxmlformats.org/drawingml/2006/main">
              <a:srgbClr val="888888"/>
            </a:solidFill>
          </c:spPr>
          <c:xVal>
            <c:numLit>
              <c:formatCode>General</c:formatCode>
              <c:ptCount val="1"/>
              <c:pt idx="0">
                <c:v>0.7699678013294424</c:v>
              </c:pt>
            </c:numLit>
          </c:xVal>
          <c:yVal>
            <c:numRef>
              <c:f>'综合汇总'!$P$49</c:f>
              <c:numCache>
                <c:formatCode>0</c:formatCode>
                <c:ptCount val="1"/>
                <c:pt idx="0">
                  <c:v>70</c:v>
                </c:pt>
              </c:numCache>
            </c:numRef>
          </c:yVal>
        </c:ser>
        <c:ser>
          <c:idx val="7"/>
          <c:order val="7"/>
          <c:tx>
            <c:v>DeepSeek Flash max</c:v>
          </c:tx>
          <c:spPr>
            <a:solidFill xmlns:a="http://schemas.openxmlformats.org/drawingml/2006/main">
              <a:srgbClr val="6857B1"/>
            </a:solidFill>
          </c:spPr>
          <c:xVal>
            <c:numLit>
              <c:formatCode>General</c:formatCode>
              <c:ptCount val="1"/>
              <c:pt idx="0">
                <c:v>-0.3214816209598861</c:v>
              </c:pt>
            </c:numLit>
          </c:xVal>
          <c:yVal>
            <c:numRef>
              <c:f>'综合汇总'!$P$50</c:f>
              <c:numCache>
                <c:formatCode>0</c:formatCode>
                <c:ptCount val="1"/>
                <c:pt idx="0">
                  <c:v>54</c:v>
                </c:pt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4763">
              <a:solidFill>
                <a:srgbClr val="E4E1E6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750"/>
                  <a:t>Score / 100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/>
              </a:pPr>
            </a:p>
          </c:txPr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750"/>
                  <a:t>log10(USD)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/>
              </a:pPr>
            </a:p>
          </c:txPr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0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41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5f541631aa4c6a"/>
        </a:graphicData>
      </a:graphic>
    </xdr:graphicFrame>
    <xdr:clientData/>
  </xdr:twoCellAnchor>
  <xdr:twoCellAnchor>
    <xdr:from>
      <xdr:col>6</xdr:col>
      <xdr:colOff>0</xdr:colOff>
      <xdr:row>41</xdr:row>
      <xdr:rowOff>0</xdr:rowOff>
    </xdr:from>
    <xdr:to>
      <xdr:col>12</xdr:col>
      <xdr:colOff>0</xdr:colOff>
      <xdr:row>63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cada467d924104"/>
        </a:graphicData>
      </a:graphic>
    </xdr:graphicFrame>
    <xdr:clientData/>
  </xdr:twoCellAnchor>
  <xdr:twoCellAnchor>
    <xdr:from>
      <xdr:col>0</xdr:col>
      <xdr:colOff>0</xdr:colOff>
      <xdr:row>64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2ac7fba53a4ff2"/>
        </a:graphicData>
      </a:graphic>
    </xdr:graphicFrame>
    <xdr:clientData/>
  </xdr:twoCellAnchor>
  <xdr:twoCellAnchor>
    <xdr:from>
      <xdr:col>6</xdr:col>
      <xdr:colOff>0</xdr:colOff>
      <xdr:row>64</xdr:row>
      <xdr:rowOff>0</xdr:rowOff>
    </xdr:from>
    <xdr:to>
      <xdr:col>12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dd3c8b6db849f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4a21b6f095044f5d" /></Relationships>
</file>

<file path=xl/worksheets/sheet1.xml><?xml version="1.0" encoding="utf-8"?>
<x:worksheet xmlns:x="http://schemas.openxmlformats.org/spreadsheetml/2006/main">
  <x:sheetFormatPr defaultRowHeight="14"/>
  <x:cols>
    <x:col min="2" max="2" width="31.8799991607666" hidden="0" customWidth="1"/>
    <x:col min="3" max="3" width="15.630000114440918" hidden="0" customWidth="1"/>
    <x:col min="1" max="1" width="9.380000114440918" hidden="0" customWidth="1"/>
    <x:col min="4" max="4" width="15.630000114440918" hidden="0" customWidth="1"/>
  </x:cols>
  <x:sheetData>
    <x:row r="1" ht="21" customHeight="1">
      <x:c r="A1" t="s">
        <x:v>0</x:v>
      </x:c>
      <x:c r="B1" t="s">
        <x:v>1</x:v>
      </x:c>
      <x:c r="C1" t="s">
        <x:v>2</x:v>
      </x:c>
      <x:c r="D1" t="s">
        <x:v>3</x:v>
      </x:c>
    </x:row>
    <x:row r="2" ht="21" customHeight="1">
      <x:c r="A2" s="44" t="str">
        <x:v>1a</x:v>
      </x:c>
      <x:c r="B2" s="44" t="str">
        <x:v>GPT-5.6 Sol xhigh</x:v>
      </x:c>
      <x:c r="C2" s="45" t="n">
        <x:v>4.082</x:v>
      </x:c>
      <x:c r="D2" s="46" t="n">
        <x:v>57</x:v>
      </x:c>
    </x:row>
    <x:row r="3" ht="21" customHeight="1">
      <x:c r="A3" s="44" t="str">
        <x:v>1b</x:v>
      </x:c>
      <x:c r="B3" s="44" t="str">
        <x:v>GPT-6 Astra high</x:v>
      </x:c>
      <x:c r="C3" s="45" t="n">
        <x:v>5.614</x:v>
      </x:c>
      <x:c r="D3" s="46" t="n">
        <x:v>92</x:v>
      </x:c>
    </x:row>
    <x:row r="4" ht="21" customHeight="1">
      <x:c r="A4" s="44" t="str">
        <x:v>1c</x:v>
      </x:c>
      <x:c r="B4" s="44" t="str">
        <x:v>GPT-6 Sol xhigh</x:v>
      </x:c>
      <x:c r="C4" s="45" t="n">
        <x:v>2.386</x:v>
      </x:c>
      <x:c r="D4" s="46" t="n">
        <x:v>54</x:v>
      </x:c>
    </x:row>
    <x:row r="5" ht="21" customHeight="1">
      <x:c r="A5" s="44" t="str">
        <x:v>1d</x:v>
      </x:c>
      <x:c r="B5" s="44" t="str">
        <x:v>Grok 4.7 high</x:v>
      </x:c>
      <x:c r="C5" s="45" t="n">
        <x:v>4.514</x:v>
      </x:c>
      <x:c r="D5" s="46" t="n">
        <x:v>30</x:v>
      </x:c>
    </x:row>
    <x:row r="6" ht="21" customHeight="1">
      <x:c r="A6" s="44" t="str">
        <x:v>s_1a</x:v>
      </x:c>
      <x:c r="B6" s="44" t="str">
        <x:v>Opus 5.5 xhigh</x:v>
      </x:c>
      <x:c r="C6" s="45" t="n">
        <x:v>24.056</x:v>
      </x:c>
      <x:c r="D6" s="46" t="n">
        <x:v>87</x:v>
      </x:c>
    </x:row>
    <x:row r="7" ht="21" customHeight="1">
      <x:c r="A7" s="44" t="str">
        <x:v>s_1b</x:v>
      </x:c>
      <x:c r="B7" s="44" t="str">
        <x:v>GPT-6 Sol max</x:v>
      </x:c>
      <x:c r="C7" s="45" t="n">
        <x:v>4.118</x:v>
      </x:c>
      <x:c r="D7" s="46" t="n">
        <x:v>94</x:v>
      </x:c>
    </x:row>
    <x:row r="8" ht="21" customHeight="1">
      <x:c r="A8" s="44" t="str">
        <x:v>s_1c</x:v>
      </x:c>
      <x:c r="B8" s="44" t="str">
        <x:v>GPT-6 Luna max</x:v>
      </x:c>
      <x:c r="C8" s="45" t="n">
        <x:v>0.178</x:v>
      </x:c>
      <x:c r="D8" s="46" t="n">
        <x:v>53</x:v>
      </x:c>
    </x:row>
    <x:row r="9" ht="21" customHeight="1">
      <x:c r="A9" s="44" t="str">
        <x:v>s_1d</x:v>
      </x:c>
      <x:c r="B9" s="44" t="str">
        <x:v>DeepSeek V4.1 Flash max</x:v>
      </x:c>
      <x:c r="C9" s="45" t="n">
        <x:v>0.414</x:v>
      </x:c>
      <x:c r="D9" s="46" t="n">
        <x:v>47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"/>
  <x:cols>
    <x:col min="2" max="2" width="31.8799991607666" hidden="0" customWidth="1"/>
    <x:col min="3" max="3" width="15.630000114440918" hidden="0" customWidth="1"/>
    <x:col min="4" max="4" width="15.630000114440918" hidden="0" customWidth="1"/>
    <x:col min="1" max="1" width="9.380000114440918" hidden="0" customWidth="1"/>
  </x:cols>
  <x:sheetData>
    <x:row r="1" ht="21" customHeight="1">
      <x:c r="A1" t="s">
        <x:v>0</x:v>
      </x:c>
      <x:c r="B1" t="s">
        <x:v>1</x:v>
      </x:c>
      <x:c r="C1" t="s">
        <x:v>2</x:v>
      </x:c>
      <x:c r="D1" t="s">
        <x:v>3</x:v>
      </x:c>
    </x:row>
    <x:row r="2" ht="21" customHeight="1">
      <x:c r="A2" s="44" t="str">
        <x:v>2a</x:v>
      </x:c>
      <x:c r="B2" s="44" t="str">
        <x:v>GPT-5.6 Sol xhigh</x:v>
      </x:c>
      <x:c r="C2" s="45" t="n">
        <x:v>2.763</x:v>
      </x:c>
      <x:c r="D2" s="46" t="n">
        <x:v>87</x:v>
      </x:c>
    </x:row>
    <x:row r="3" ht="21" customHeight="1">
      <x:c r="A3" s="44" t="str">
        <x:v>2b</x:v>
      </x:c>
      <x:c r="B3" s="44" t="str">
        <x:v>GPT-6 Luna max</x:v>
      </x:c>
      <x:c r="C3" s="45" t="n">
        <x:v>0.143</x:v>
      </x:c>
      <x:c r="D3" s="46" t="n">
        <x:v>86</x:v>
      </x:c>
    </x:row>
    <x:row r="4" ht="21" customHeight="1">
      <x:c r="A4" s="44" t="str">
        <x:v>2c</x:v>
      </x:c>
      <x:c r="B4" s="44" t="str">
        <x:v>GPT-6 Sol max</x:v>
      </x:c>
      <x:c r="C4" s="45" t="n">
        <x:v>1.814</x:v>
      </x:c>
      <x:c r="D4" s="46" t="n">
        <x:v>94</x:v>
      </x:c>
    </x:row>
    <x:row r="5" ht="21" customHeight="1">
      <x:c r="A5" s="44" t="str">
        <x:v>2d</x:v>
      </x:c>
      <x:c r="B5" s="44" t="str">
        <x:v>GPT-6 Sol xhigh</x:v>
      </x:c>
      <x:c r="C5" s="45" t="n">
        <x:v>2.155</x:v>
      </x:c>
      <x:c r="D5" s="46" t="n">
        <x:v>92</x:v>
      </x:c>
    </x:row>
    <x:row r="6" ht="21" customHeight="1">
      <x:c r="A6" s="44" t="str">
        <x:v>2e</x:v>
      </x:c>
      <x:c r="B6" s="44" t="str">
        <x:v>GPT-6 Astra high</x:v>
      </x:c>
      <x:c r="C6" s="45" t="n">
        <x:v>4.55</x:v>
      </x:c>
      <x:c r="D6" s="46" t="n">
        <x:v>97</x:v>
      </x:c>
    </x:row>
    <x:row r="7" ht="21" customHeight="1">
      <x:c r="A7" s="44" t="str">
        <x:v>2f</x:v>
      </x:c>
      <x:c r="B7" s="44" t="str">
        <x:v>Grok 4.7 high</x:v>
      </x:c>
      <x:c r="C7" s="45" t="n">
        <x:v>4.274</x:v>
      </x:c>
      <x:c r="D7" s="46" t="n">
        <x:v>69</x:v>
      </x:c>
    </x:row>
    <x:row r="8" ht="21" customHeight="1">
      <x:c r="A8" s="44" t="str">
        <x:v>s_2a</x:v>
      </x:c>
      <x:c r="B8" s="44" t="str">
        <x:v>Opus 5.5 xhigh</x:v>
      </x:c>
      <x:c r="C8" s="45" t="n">
        <x:v>12.33</x:v>
      </x:c>
      <x:c r="D8" s="46" t="n">
        <x:v>93</x:v>
      </x:c>
    </x:row>
    <x:row r="9" ht="21" customHeight="1">
      <x:c r="A9" s="44" t="str">
        <x:v>s_2b</x:v>
      </x:c>
      <x:c r="B9" s="44" t="str">
        <x:v>DeepSeek V4.1 Flash max</x:v>
      </x:c>
      <x:c r="C9" s="45" t="n">
        <x:v>0.43</x:v>
      </x:c>
      <x:c r="D9" s="46" t="n">
        <x:v>75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"/>
  <x:cols>
    <x:col min="2" max="2" width="31.8799991607666" hidden="0" customWidth="1"/>
    <x:col min="3" max="3" width="15.630000114440918" hidden="0" customWidth="1"/>
    <x:col min="1" max="1" width="9.380000114440918" hidden="0" customWidth="1"/>
    <x:col min="4" max="4" width="15.630000114440918" hidden="0" customWidth="1"/>
  </x:cols>
  <x:sheetData>
    <x:row r="1" ht="21" customHeight="1">
      <x:c r="A1" t="s">
        <x:v>0</x:v>
      </x:c>
      <x:c r="B1" t="s">
        <x:v>1</x:v>
      </x:c>
      <x:c r="C1" t="s">
        <x:v>2</x:v>
      </x:c>
      <x:c r="D1" t="s">
        <x:v>3</x:v>
      </x:c>
    </x:row>
    <x:row r="2" ht="21" customHeight="1">
      <x:c r="A2" s="44" t="str">
        <x:v>3a</x:v>
      </x:c>
      <x:c r="B2" s="44" t="str">
        <x:v>GPT-5.6 Sol xhigh</x:v>
      </x:c>
      <x:c r="C2" s="45" t="n">
        <x:v>13.96</x:v>
      </x:c>
      <x:c r="D2" s="46" t="n">
        <x:v>82</x:v>
      </x:c>
    </x:row>
    <x:row r="3" ht="21" customHeight="1">
      <x:c r="A3" s="44" t="str">
        <x:v>3b</x:v>
      </x:c>
      <x:c r="B3" s="44" t="str">
        <x:v>GPT-6 Luna max</x:v>
      </x:c>
      <x:c r="C3" s="45" t="n">
        <x:v>0.143</x:v>
      </x:c>
      <x:c r="D3" s="46" t="n">
        <x:v>76</x:v>
      </x:c>
    </x:row>
    <x:row r="4" ht="21" customHeight="1">
      <x:c r="A4" s="44" t="str">
        <x:v>3c</x:v>
      </x:c>
      <x:c r="B4" s="44" t="str">
        <x:v>GPT-6 Sol max</x:v>
      </x:c>
      <x:c r="C4" s="45" t="n">
        <x:v>2.32</x:v>
      </x:c>
      <x:c r="D4" s="46" t="n">
        <x:v>95</x:v>
      </x:c>
    </x:row>
    <x:row r="5" ht="21" customHeight="1">
      <x:c r="A5" s="44" t="str">
        <x:v>3d</x:v>
      </x:c>
      <x:c r="B5" s="44" t="str">
        <x:v>GPT-6 Sol xhigh</x:v>
      </x:c>
      <x:c r="C5" s="45" t="n">
        <x:v>1.643</x:v>
      </x:c>
      <x:c r="D5" s="46" t="n">
        <x:v>90</x:v>
      </x:c>
    </x:row>
    <x:row r="6" ht="21" customHeight="1">
      <x:c r="A6" s="44" t="str">
        <x:v>3e</x:v>
      </x:c>
      <x:c r="B6" s="44" t="str">
        <x:v>GPT-6 Astra high</x:v>
      </x:c>
      <x:c r="C6" s="45" t="n">
        <x:v>4.206</x:v>
      </x:c>
      <x:c r="D6" s="46" t="n">
        <x:v>98</x:v>
      </x:c>
    </x:row>
    <x:row r="7" ht="21" customHeight="1">
      <x:c r="A7" s="44" t="str">
        <x:v>3f</x:v>
      </x:c>
      <x:c r="B7" s="44" t="str">
        <x:v>Grok 4.7 high</x:v>
      </x:c>
      <x:c r="C7" s="45" t="n">
        <x:v>5.888</x:v>
      </x:c>
      <x:c r="D7" s="46" t="n">
        <x:v>70</x:v>
      </x:c>
    </x:row>
    <x:row r="8" ht="21" customHeight="1">
      <x:c r="A8" s="44" t="str">
        <x:v>s_3a</x:v>
      </x:c>
      <x:c r="B8" s="44" t="str">
        <x:v>Opus 5.5 xhigh</x:v>
      </x:c>
      <x:c r="C8" s="45" t="n">
        <x:v>14.384</x:v>
      </x:c>
      <x:c r="D8" s="46" t="n">
        <x:v>81</x:v>
      </x:c>
    </x:row>
    <x:row r="9" ht="21" customHeight="1">
      <x:c r="A9" s="44" t="str">
        <x:v>s_3b</x:v>
      </x:c>
      <x:c r="B9" s="44" t="str">
        <x:v>DeepSeek V4.1 Flash max</x:v>
      </x:c>
      <x:c r="C9" s="45" t="n">
        <x:v>0.477</x:v>
      </x:c>
      <x:c r="D9" s="46" t="n">
        <x:v>54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75" hidden="0" customWidth="1"/>
    <x:col min="2" max="2" width="9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2.5" hidden="0" customWidth="1"/>
    <x:col min="9" max="9" width="12.5" hidden="0" customWidth="1"/>
    <x:col min="10" max="10" width="12.5" hidden="0" customWidth="1"/>
    <x:col min="11" max="11" width="14.75" hidden="0" customWidth="1"/>
    <x:col min="12" max="12" width="2.5" hidden="0" customWidth="1"/>
  </x:cols>
  <x:sheetData>
    <x:row r="1" ht="27.75" customHeight="1">
      <x:c r="A1" s="3" t="str">
        <x:v>三道数学物理研究题：完整表现与实际成本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21" customHeight="1">
      <x:c r="A2" s="4" t="str">
        <x:v>2026-09-23 · 8 个模型配置 × 3 题 = 24 项有效结果 · 每题 100 分 · 美元成本 · 三题等权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21" customHeight="1">
      <x:c r="A3" s="4" t="str">
        <x:v>Opus 5.5 xhigh 采用补充报告的评分；三题成本沿用原记录，各计一次。身份揭晓后沿用已完成的评分。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35" customHeight="1">
      <x:c r="A5" s="69" t="str">
        <x:v>模型配置</x:v>
      </x:c>
      <x:c r="B5" s="69" t="str">
        <x:v>第 1 题</x:v>
      </x:c>
      <x:c r="C5" s="69" t="str">
        <x:v>成本 USD</x:v>
      </x:c>
      <x:c r="D5" s="69" t="str">
        <x:v>第 2 题</x:v>
      </x:c>
      <x:c r="E5" s="69" t="str">
        <x:v>成本 USD</x:v>
      </x:c>
      <x:c r="F5" s="69" t="str">
        <x:v>第 3 题</x:v>
      </x:c>
      <x:c r="G5" s="69" t="str">
        <x:v>成本 USD</x:v>
      </x:c>
      <x:c r="H5" s="69" t="str">
        <x:v>总分 /300</x:v>
      </x:c>
      <x:c r="I5" s="69" t="str">
        <x:v>均分 /100</x:v>
      </x:c>
      <x:c r="J5" s="69" t="str">
        <x:v>总成本 USD</x:v>
      </x:c>
      <x:c r="K5" s="69" t="str">
        <x:v>最弱一题</x:v>
      </x:c>
      <x:c r="L5" s="2"/>
      <x:c r="M5" s="2"/>
      <x:c r="N5" s="2" t="str">
        <x:v>Model</x:v>
      </x:c>
      <x:c r="O5" s="2" t="str">
        <x:v>log10(USD)</x:v>
      </x:c>
      <x:c r="P5" s="2" t="str">
        <x:v>Score /100</x:v>
      </x:c>
      <x:c r="Q5" s="2"/>
      <x:c r="R5" s="2"/>
      <x:c r="S5" s="2"/>
      <x:c r="T5" s="2"/>
      <x:c r="U5" s="2"/>
      <x:c r="V5" s="2"/>
    </x:row>
    <x:row r="6" ht="21" customHeight="1">
      <x:c r="A6" s="2" t="str">
        <x:v>GPT-6 Astra high</x:v>
      </x:c>
      <x:c r="B6" s="12" t="n">
        <x:f>'Task 1'!D3</x:f>
        <x:v>92</x:v>
      </x:c>
      <x:c r="C6" s="20" t="n">
        <x:f>'Task 1'!C3</x:f>
        <x:v>5.614</x:v>
      </x:c>
      <x:c r="D6" s="12" t="n">
        <x:f>'Task 2'!D6</x:f>
        <x:v>97</x:v>
      </x:c>
      <x:c r="E6" s="20" t="n">
        <x:f>'Task 2'!C6</x:f>
        <x:v>4.55</x:v>
      </x:c>
      <x:c r="F6" s="12" t="n">
        <x:f>'Task 3'!D6</x:f>
        <x:v>98</x:v>
      </x:c>
      <x:c r="G6" s="20" t="n">
        <x:f>'Task 3'!C6</x:f>
        <x:v>4.206</x:v>
      </x:c>
      <x:c r="H6" s="12" t="n">
        <x:f>SUM(B6,D6,F6)</x:f>
        <x:v>287</x:v>
      </x:c>
      <x:c r="I6" s="23" t="n">
        <x:f>H6/3</x:f>
        <x:v>95.66666666666667</x:v>
      </x:c>
      <x:c r="J6" s="20" t="n">
        <x:f>SUM(C6,E6,G6)</x:f>
        <x:v>14.370000000000001</x:v>
      </x:c>
      <x:c r="K6" s="12" t="n">
        <x:f>MIN(B6,D6,F6)</x:f>
        <x:v>92</x:v>
      </x:c>
      <x:c r="L6" s="2"/>
      <x:c r="M6" s="2"/>
      <x:c r="N6" s="2" t="str">
        <x:v>GPT-6 Astra high</x:v>
      </x:c>
      <x:c r="O6" s="2" t="n">
        <x:f>LOG10(J6)</x:f>
        <x:v>1.15745676813423</x:v>
      </x:c>
      <x:c r="P6" s="2" t="n">
        <x:f>I6</x:f>
        <x:v>95.66666666666667</x:v>
      </x:c>
      <x:c r="Q6" s="2"/>
      <x:c r="R6" s="2"/>
      <x:c r="S6" s="2"/>
      <x:c r="T6" s="2"/>
      <x:c r="U6" s="2"/>
      <x:c r="V6" s="2"/>
    </x:row>
    <x:row r="7" ht="21" customHeight="1">
      <x:c r="A7" s="70" t="str">
        <x:v>GPT-6 Sol max</x:v>
      </x:c>
      <x:c r="B7" s="71" t="n">
        <x:f>'Task 1'!D7</x:f>
        <x:v>94</x:v>
      </x:c>
      <x:c r="C7" s="74" t="n">
        <x:f>'Task 1'!C7</x:f>
        <x:v>4.118</x:v>
      </x:c>
      <x:c r="D7" s="71" t="n">
        <x:f>'Task 2'!D4</x:f>
        <x:v>94</x:v>
      </x:c>
      <x:c r="E7" s="74" t="n">
        <x:f>'Task 2'!C4</x:f>
        <x:v>1.814</x:v>
      </x:c>
      <x:c r="F7" s="71" t="n">
        <x:f>'Task 3'!D4</x:f>
        <x:v>95</x:v>
      </x:c>
      <x:c r="G7" s="74" t="n">
        <x:f>'Task 3'!C4</x:f>
        <x:v>2.32</x:v>
      </x:c>
      <x:c r="H7" s="71" t="n">
        <x:f>SUM(B7,D7,F7)</x:f>
        <x:v>283</x:v>
      </x:c>
      <x:c r="I7" s="76" t="n">
        <x:f>H7/3</x:f>
        <x:v>94.33333333333333</x:v>
      </x:c>
      <x:c r="J7" s="74" t="n">
        <x:f>SUM(C7,E7,G7)</x:f>
        <x:v>8.252</x:v>
      </x:c>
      <x:c r="K7" s="71" t="n">
        <x:f>MIN(B7,D7,F7)</x:f>
        <x:v>94</x:v>
      </x:c>
      <x:c r="L7" s="2"/>
      <x:c r="M7" s="2"/>
      <x:c r="N7" s="2" t="str">
        <x:v>GPT-6 Sol max</x:v>
      </x:c>
      <x:c r="O7" s="2" t="n">
        <x:f>LOG10(J7)</x:f>
        <x:v>0.916559219301114</x:v>
      </x:c>
      <x:c r="P7" s="2" t="n">
        <x:f>I7</x:f>
        <x:v>94.33333333333333</x:v>
      </x:c>
      <x:c r="Q7" s="2"/>
      <x:c r="R7" s="2"/>
      <x:c r="S7" s="2"/>
      <x:c r="T7" s="2"/>
      <x:c r="U7" s="2"/>
      <x:c r="V7" s="2"/>
    </x:row>
    <x:row r="8" ht="21" customHeight="1">
      <x:c r="A8" s="2" t="str">
        <x:v>Opus 5.5 xhigh</x:v>
      </x:c>
      <x:c r="B8" s="12" t="n">
        <x:f>'Task 1'!D6</x:f>
        <x:v>87</x:v>
      </x:c>
      <x:c r="C8" s="20" t="n">
        <x:f>'Task 1'!C6</x:f>
        <x:v>24.056</x:v>
      </x:c>
      <x:c r="D8" s="12" t="n">
        <x:f>'Task 2'!D8</x:f>
        <x:v>93</x:v>
      </x:c>
      <x:c r="E8" s="20" t="n">
        <x:f>'Task 2'!C8</x:f>
        <x:v>12.33</x:v>
      </x:c>
      <x:c r="F8" s="12" t="n">
        <x:f>'Task 3'!D8</x:f>
        <x:v>81</x:v>
      </x:c>
      <x:c r="G8" s="20" t="n">
        <x:f>'Task 3'!C8</x:f>
        <x:v>14.384</x:v>
      </x:c>
      <x:c r="H8" s="12" t="n">
        <x:f>SUM(B8,D8,F8)</x:f>
        <x:v>261</x:v>
      </x:c>
      <x:c r="I8" s="23" t="n">
        <x:f>H8/3</x:f>
        <x:v>87</x:v>
      </x:c>
      <x:c r="J8" s="20" t="n">
        <x:f>SUM(C8,E8,G8)</x:f>
        <x:v>50.77</x:v>
      </x:c>
      <x:c r="K8" s="12" t="n">
        <x:f>MIN(B8,D8,F8)</x:f>
        <x:v>81</x:v>
      </x:c>
      <x:c r="L8" s="2"/>
      <x:c r="M8" s="2"/>
      <x:c r="N8" s="2" t="str">
        <x:v>Opus 5.5 xhigh</x:v>
      </x:c>
      <x:c r="O8" s="2" t="n">
        <x:f>LOG10(J8)</x:f>
        <x:v>1.7056071634046</x:v>
      </x:c>
      <x:c r="P8" s="2" t="n">
        <x:f>I8</x:f>
        <x:v>87</x:v>
      </x:c>
      <x:c r="Q8" s="2"/>
      <x:c r="R8" s="2"/>
      <x:c r="S8" s="2"/>
      <x:c r="T8" s="2"/>
      <x:c r="U8" s="2"/>
      <x:c r="V8" s="2"/>
    </x:row>
    <x:row r="9" ht="21" customHeight="1">
      <x:c r="A9" s="70" t="str">
        <x:v>GPT-6 Sol xhigh</x:v>
      </x:c>
      <x:c r="B9" s="71" t="n">
        <x:f>'Task 1'!D4</x:f>
        <x:v>54</x:v>
      </x:c>
      <x:c r="C9" s="74" t="n">
        <x:f>'Task 1'!C4</x:f>
        <x:v>2.386</x:v>
      </x:c>
      <x:c r="D9" s="71" t="n">
        <x:f>'Task 2'!D5</x:f>
        <x:v>92</x:v>
      </x:c>
      <x:c r="E9" s="74" t="n">
        <x:f>'Task 2'!C5</x:f>
        <x:v>2.155</x:v>
      </x:c>
      <x:c r="F9" s="71" t="n">
        <x:f>'Task 3'!D5</x:f>
        <x:v>90</x:v>
      </x:c>
      <x:c r="G9" s="74" t="n">
        <x:f>'Task 3'!C5</x:f>
        <x:v>1.643</x:v>
      </x:c>
      <x:c r="H9" s="71" t="n">
        <x:f>SUM(B9,D9,F9)</x:f>
        <x:v>236</x:v>
      </x:c>
      <x:c r="I9" s="76" t="n">
        <x:f>H9/3</x:f>
        <x:v>78.66666666666667</x:v>
      </x:c>
      <x:c r="J9" s="74" t="n">
        <x:f>SUM(C9,E9,G9)</x:f>
        <x:v>6.184</x:v>
      </x:c>
      <x:c r="K9" s="71" t="n">
        <x:f>MIN(B9,D9,F9)</x:f>
        <x:v>54</x:v>
      </x:c>
      <x:c r="L9" s="2"/>
      <x:c r="M9" s="2"/>
      <x:c r="N9" s="2" t="str">
        <x:v>GPT-6 Sol xhigh</x:v>
      </x:c>
      <x:c r="O9" s="2" t="n">
        <x:f>LOG10(J9)</x:f>
        <x:v>0.791269480910268</x:v>
      </x:c>
      <x:c r="P9" s="2" t="n">
        <x:f>I9</x:f>
        <x:v>78.66666666666667</x:v>
      </x:c>
      <x:c r="Q9" s="2"/>
      <x:c r="R9" s="2"/>
      <x:c r="S9" s="2"/>
      <x:c r="T9" s="2"/>
      <x:c r="U9" s="2"/>
      <x:c r="V9" s="2"/>
    </x:row>
    <x:row r="10" ht="21" customHeight="1">
      <x:c r="A10" s="2" t="str">
        <x:v>GPT-5.6 Sol xhigh</x:v>
      </x:c>
      <x:c r="B10" s="12" t="n">
        <x:f>'Task 1'!D2</x:f>
        <x:v>57</x:v>
      </x:c>
      <x:c r="C10" s="20" t="n">
        <x:f>'Task 1'!C2</x:f>
        <x:v>4.082</x:v>
      </x:c>
      <x:c r="D10" s="12" t="n">
        <x:f>'Task 2'!D2</x:f>
        <x:v>87</x:v>
      </x:c>
      <x:c r="E10" s="20" t="n">
        <x:f>'Task 2'!C2</x:f>
        <x:v>2.763</x:v>
      </x:c>
      <x:c r="F10" s="12" t="n">
        <x:f>'Task 3'!D2</x:f>
        <x:v>82</x:v>
      </x:c>
      <x:c r="G10" s="20" t="n">
        <x:f>'Task 3'!C2</x:f>
        <x:v>13.96</x:v>
      </x:c>
      <x:c r="H10" s="12" t="n">
        <x:f>SUM(B10,D10,F10)</x:f>
        <x:v>226</x:v>
      </x:c>
      <x:c r="I10" s="23" t="n">
        <x:f>H10/3</x:f>
        <x:v>75.33333333333333</x:v>
      </x:c>
      <x:c r="J10" s="20" t="n">
        <x:f>SUM(C10,E10,G10)</x:f>
        <x:v>20.805</x:v>
      </x:c>
      <x:c r="K10" s="12" t="n">
        <x:f>MIN(B10,D10,F10)</x:f>
        <x:v>57</x:v>
      </x:c>
      <x:c r="L10" s="2"/>
      <x:c r="M10" s="2"/>
      <x:c r="N10" s="2" t="str">
        <x:v>GPT-5.6 Sol xhigh</x:v>
      </x:c>
      <x:c r="O10" s="2" t="n">
        <x:f>LOG10(J10)</x:f>
        <x:v>1.31816772012897</x:v>
      </x:c>
      <x:c r="P10" s="2" t="n">
        <x:f>I10</x:f>
        <x:v>75.33333333333333</x:v>
      </x:c>
      <x:c r="Q10" s="2"/>
      <x:c r="R10" s="2"/>
      <x:c r="S10" s="2"/>
      <x:c r="T10" s="2"/>
      <x:c r="U10" s="2"/>
      <x:c r="V10" s="2"/>
    </x:row>
    <x:row r="11" ht="21" customHeight="1">
      <x:c r="A11" s="70" t="str">
        <x:v>GPT-6 Luna max</x:v>
      </x:c>
      <x:c r="B11" s="71" t="n">
        <x:f>'Task 1'!D8</x:f>
        <x:v>53</x:v>
      </x:c>
      <x:c r="C11" s="74" t="n">
        <x:f>'Task 1'!C8</x:f>
        <x:v>0.178</x:v>
      </x:c>
      <x:c r="D11" s="71" t="n">
        <x:f>'Task 2'!D3</x:f>
        <x:v>86</x:v>
      </x:c>
      <x:c r="E11" s="74" t="n">
        <x:f>'Task 2'!C3</x:f>
        <x:v>0.143</x:v>
      </x:c>
      <x:c r="F11" s="71" t="n">
        <x:f>'Task 3'!D3</x:f>
        <x:v>76</x:v>
      </x:c>
      <x:c r="G11" s="74" t="n">
        <x:f>'Task 3'!C3</x:f>
        <x:v>0.143</x:v>
      </x:c>
      <x:c r="H11" s="71" t="n">
        <x:f>SUM(B11,D11,F11)</x:f>
        <x:v>215</x:v>
      </x:c>
      <x:c r="I11" s="76" t="n">
        <x:f>H11/3</x:f>
        <x:v>71.66666666666667</x:v>
      </x:c>
      <x:c r="J11" s="74" t="n">
        <x:f>SUM(C11,E11,G11)</x:f>
        <x:v>0.46399999999999997</x:v>
      </x:c>
      <x:c r="K11" s="71" t="n">
        <x:f>MIN(B11,D11,F11)</x:f>
        <x:v>53</x:v>
      </x:c>
      <x:c r="L11" s="2"/>
      <x:c r="M11" s="2"/>
      <x:c r="N11" s="2" t="str">
        <x:v>GPT-6 Luna max</x:v>
      </x:c>
      <x:c r="O11" s="2" t="n">
        <x:f>LOG10(J11)</x:f>
        <x:v>-0.333482019445119</x:v>
      </x:c>
      <x:c r="P11" s="2" t="n">
        <x:f>I11</x:f>
        <x:v>71.66666666666667</x:v>
      </x:c>
      <x:c r="Q11" s="2"/>
      <x:c r="R11" s="2"/>
      <x:c r="S11" s="2"/>
      <x:c r="T11" s="2"/>
      <x:c r="U11" s="2"/>
      <x:c r="V11" s="2"/>
    </x:row>
    <x:row r="12" ht="21" customHeight="1">
      <x:c r="A12" s="2" t="str">
        <x:v>DeepSeek V4.1 Flash max</x:v>
      </x:c>
      <x:c r="B12" s="12" t="n">
        <x:f>'Task 1'!D9</x:f>
        <x:v>47</x:v>
      </x:c>
      <x:c r="C12" s="20" t="n">
        <x:f>'Task 1'!C9</x:f>
        <x:v>0.414</x:v>
      </x:c>
      <x:c r="D12" s="12" t="n">
        <x:f>'Task 2'!D9</x:f>
        <x:v>75</x:v>
      </x:c>
      <x:c r="E12" s="20" t="n">
        <x:f>'Task 2'!C9</x:f>
        <x:v>0.43</x:v>
      </x:c>
      <x:c r="F12" s="12" t="n">
        <x:f>'Task 3'!D9</x:f>
        <x:v>54</x:v>
      </x:c>
      <x:c r="G12" s="20" t="n">
        <x:f>'Task 3'!C9</x:f>
        <x:v>0.477</x:v>
      </x:c>
      <x:c r="H12" s="12" t="n">
        <x:f>SUM(B12,D12,F12)</x:f>
        <x:v>176</x:v>
      </x:c>
      <x:c r="I12" s="23" t="n">
        <x:f>H12/3</x:f>
        <x:v>58.666666666666664</x:v>
      </x:c>
      <x:c r="J12" s="20" t="n">
        <x:f>SUM(C12,E12,G12)</x:f>
        <x:v>1.321</x:v>
      </x:c>
      <x:c r="K12" s="12" t="n">
        <x:f>MIN(B12,D12,F12)</x:f>
        <x:v>47</x:v>
      </x:c>
      <x:c r="L12" s="2"/>
      <x:c r="M12" s="2"/>
      <x:c r="N12" s="2" t="str">
        <x:v>DeepSeek V4.1 Flash max</x:v>
      </x:c>
      <x:c r="O12" s="2" t="n">
        <x:f>LOG10(J12)</x:f>
        <x:v>0.120902817614527</x:v>
      </x:c>
      <x:c r="P12" s="2" t="n">
        <x:f>I12</x:f>
        <x:v>58.666666666666664</x:v>
      </x:c>
      <x:c r="Q12" s="2"/>
      <x:c r="R12" s="2"/>
      <x:c r="S12" s="2"/>
      <x:c r="T12" s="2"/>
      <x:c r="U12" s="2"/>
      <x:c r="V12" s="2"/>
    </x:row>
    <x:row r="13" ht="21" customHeight="1">
      <x:c r="A13" s="72" t="str">
        <x:v>Grok 4.7 high</x:v>
      </x:c>
      <x:c r="B13" s="73" t="n">
        <x:f>'Task 1'!D5</x:f>
        <x:v>30</x:v>
      </x:c>
      <x:c r="C13" s="75" t="n">
        <x:f>'Task 1'!C5</x:f>
        <x:v>4.514</x:v>
      </x:c>
      <x:c r="D13" s="73" t="n">
        <x:f>'Task 2'!D7</x:f>
        <x:v>69</x:v>
      </x:c>
      <x:c r="E13" s="75" t="n">
        <x:f>'Task 2'!C7</x:f>
        <x:v>4.274</x:v>
      </x:c>
      <x:c r="F13" s="73" t="n">
        <x:f>'Task 3'!D7</x:f>
        <x:v>70</x:v>
      </x:c>
      <x:c r="G13" s="75" t="n">
        <x:f>'Task 3'!C7</x:f>
        <x:v>5.888</x:v>
      </x:c>
      <x:c r="H13" s="73" t="n">
        <x:f>SUM(B13,D13,F13)</x:f>
        <x:v>169</x:v>
      </x:c>
      <x:c r="I13" s="77" t="n">
        <x:f>H13/3</x:f>
        <x:v>56.333333333333336</x:v>
      </x:c>
      <x:c r="J13" s="75" t="n">
        <x:f>SUM(C13,E13,G13)</x:f>
        <x:v>14.676</x:v>
      </x:c>
      <x:c r="K13" s="73" t="n">
        <x:f>MIN(B13,D13,F13)</x:f>
        <x:v>30</x:v>
      </x:c>
      <x:c r="L13" s="2"/>
      <x:c r="M13" s="2"/>
      <x:c r="N13" s="2" t="str">
        <x:v>Grok 4.7 high</x:v>
      </x:c>
      <x:c r="O13" s="2" t="n">
        <x:f>LOG10(J13)</x:f>
        <x:v>1.16660770308391</x:v>
      </x:c>
      <x:c r="P13" s="2" t="n">
        <x:f>I13</x:f>
        <x:v>56.333333333333336</x:v>
      </x:c>
      <x:c r="Q13" s="2"/>
      <x:c r="R13" s="2"/>
      <x:c r="S13" s="2"/>
      <x:c r="T13" s="2"/>
      <x:c r="U13" s="2"/>
      <x:c r="V13" s="2"/>
    </x:row>
    <x:row r="14" ht="21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21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24" customHeight="1">
      <x:c r="A16" s="27" t="str">
        <x:v>三题综合比较与成本—得分前沿</x:v>
      </x:c>
      <x:c r="B16" s="27"/>
      <x:c r="C16" s="27"/>
      <x:c r="D16" s="27"/>
      <x:c r="E16" s="27"/>
      <x:c r="F16" s="27"/>
      <x:c r="G16" s="27"/>
      <x:c r="H16" s="27"/>
      <x:c r="I16" s="27"/>
      <x:c r="J16" s="27"/>
      <x:c r="K16" s="27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21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35" customHeight="1">
      <x:c r="A18" s="69" t="str">
        <x:v>模型配置</x:v>
      </x:c>
      <x:c r="B18" s="69" t="str">
        <x:v>排名</x:v>
      </x:c>
      <x:c r="C18" s="69" t="str">
        <x:v>总分 /300</x:v>
      </x:c>
      <x:c r="D18" s="69" t="str">
        <x:v>均分 /100</x:v>
      </x:c>
      <x:c r="E18" s="69" t="str">
        <x:v>总成本 USD</x:v>
      </x:c>
      <x:c r="F18" s="69" t="str">
        <x:v>总分 /USD</x:v>
      </x:c>
      <x:c r="G18" s="69" t="str">
        <x:v>评阅下限</x:v>
      </x:c>
      <x:c r="H18" s="69" t="str">
        <x:v>评阅上限</x:v>
      </x:c>
      <x:c r="I18" s="69" t="str">
        <x:v>成本—得分</x:v>
      </x:c>
      <x:c r="J18" s="69" t="str">
        <x:v>最弱一题</x:v>
      </x:c>
      <x:c r="K18" s="69" t="str">
        <x:v>≥80 分题数</x:v>
      </x:c>
      <x:c r="L18" s="2"/>
      <x:c r="M18" s="2"/>
      <x:c r="N18" s="2" t="str">
        <x:v>Model</x:v>
      </x:c>
      <x:c r="O18" s="2" t="str">
        <x:v>log10(USD)</x:v>
      </x:c>
      <x:c r="P18" s="2" t="str">
        <x:v>Score /100</x:v>
      </x:c>
      <x:c r="Q18" s="2"/>
      <x:c r="R18" s="2"/>
      <x:c r="S18" s="2"/>
      <x:c r="T18" s="2"/>
      <x:c r="U18" s="2"/>
      <x:c r="V18" s="2"/>
    </x:row>
    <x:row r="19" ht="21" customHeight="1">
      <x:c r="A19" s="2" t="str">
        <x:v>GPT-6 Astra high</x:v>
      </x:c>
      <x:c r="B19" s="12" t="n">
        <x:f>RANK(C19,$C$19:$C$26,0)</x:f>
        <x:v>1</x:v>
      </x:c>
      <x:c r="C19" s="12" t="n">
        <x:f>H6</x:f>
        <x:v>287</x:v>
      </x:c>
      <x:c r="D19" s="23" t="n">
        <x:f>I6</x:f>
        <x:v>95.66666666666667</x:v>
      </x:c>
      <x:c r="E19" s="20" t="n">
        <x:f>J6</x:f>
        <x:v>14.370000000000001</x:v>
      </x:c>
      <x:c r="F19" s="23" t="n">
        <x:f>C19/E19</x:f>
        <x:v>19.97216423103688</x:v>
      </x:c>
      <x:c r="G19" s="23" t="n">
        <x:f>AVERAGE(I126,I137,I145)</x:f>
        <x:v>92</x:v>
      </x:c>
      <x:c r="H19" s="23" t="n">
        <x:f>AVERAGE(J126,J137,J145)</x:f>
        <x:v>97.66666666666667</x:v>
      </x:c>
      <x:c r="I19" s="12" t="str">
        <x:f>IF(COUNTIFS($E$19:$E$26,"&lt;="&amp;E19,$C$19:$C$26,"&gt;="&amp;C19)-COUNTIFS($E$19:$E$26,E19,$C$19:$C$26,C19)&gt;0,"被支配","前沿")</x:f>
        <x:v>前沿</x:v>
      </x:c>
      <x:c r="J19" s="12" t="n">
        <x:f>K6</x:f>
        <x:v>92</x:v>
      </x:c>
      <x:c r="K19" s="12" t="n">
        <x:f>COUNTIF(B6,"&gt;=80")+COUNTIF(D6,"&gt;=80")+COUNTIF(F6,"&gt;=80")</x:f>
        <x:v>3</x:v>
      </x:c>
      <x:c r="L19" s="2"/>
      <x:c r="M19" s="2"/>
      <x:c r="N19" s="2" t="str">
        <x:v>GPT-6 Sol max</x:v>
      </x:c>
      <x:c r="O19" s="2" t="n">
        <x:f>LOG10('Task 1'!C7)</x:f>
        <x:v>0.614686342282013</x:v>
      </x:c>
      <x:c r="P19" s="2" t="n">
        <x:f>'Task 1'!D7</x:f>
        <x:v>94</x:v>
      </x:c>
      <x:c r="Q19" s="2"/>
      <x:c r="R19" s="2"/>
      <x:c r="S19" s="2"/>
      <x:c r="T19" s="2"/>
      <x:c r="U19" s="2"/>
      <x:c r="V19" s="2"/>
    </x:row>
    <x:row r="20" ht="21" customHeight="1">
      <x:c r="A20" s="70" t="str">
        <x:v>GPT-6 Sol max</x:v>
      </x:c>
      <x:c r="B20" s="71" t="n">
        <x:f>RANK(C20,$C$19:$C$26,0)</x:f>
        <x:v>2</x:v>
      </x:c>
      <x:c r="C20" s="71" t="n">
        <x:f>H7</x:f>
        <x:v>283</x:v>
      </x:c>
      <x:c r="D20" s="76" t="n">
        <x:f>I7</x:f>
        <x:v>94.33333333333333</x:v>
      </x:c>
      <x:c r="E20" s="74" t="n">
        <x:f>J7</x:f>
        <x:v>8.252</x:v>
      </x:c>
      <x:c r="F20" s="76" t="n">
        <x:f>C20/E20</x:f>
        <x:v>34.29471643238003</x:v>
      </x:c>
      <x:c r="G20" s="76" t="n">
        <x:f>AVERAGE(I130,I135,I143)</x:f>
        <x:v>90.66666666666667</x:v>
      </x:c>
      <x:c r="H20" s="76" t="n">
        <x:f>AVERAGE(J130,J135,J143)</x:f>
        <x:v>97.33333333333333</x:v>
      </x:c>
      <x:c r="I20" s="71" t="str">
        <x:f>IF(COUNTIFS($E$19:$E$26,"&lt;="&amp;E20,$C$19:$C$26,"&gt;="&amp;C20)-COUNTIFS($E$19:$E$26,E20,$C$19:$C$26,C20)&gt;0,"被支配","前沿")</x:f>
        <x:v>前沿</x:v>
      </x:c>
      <x:c r="J20" s="71" t="n">
        <x:f>K7</x:f>
        <x:v>94</x:v>
      </x:c>
      <x:c r="K20" s="71" t="n">
        <x:f>COUNTIF(B7,"&gt;=80")+COUNTIF(D7,"&gt;=80")+COUNTIF(F7,"&gt;=80")</x:f>
        <x:v>3</x:v>
      </x:c>
      <x:c r="L20" s="2"/>
      <x:c r="M20" s="2"/>
      <x:c r="N20" s="2" t="str">
        <x:v>GPT-6 Astra high</x:v>
      </x:c>
      <x:c r="O20" s="2" t="n">
        <x:f>LOG10('Task 1'!C3)</x:f>
        <x:v>0.74927240829842</x:v>
      </x:c>
      <x:c r="P20" s="2" t="n">
        <x:f>'Task 1'!D3</x:f>
        <x:v>92</x:v>
      </x:c>
      <x:c r="Q20" s="2"/>
      <x:c r="R20" s="2"/>
      <x:c r="S20" s="2"/>
      <x:c r="T20" s="2"/>
      <x:c r="U20" s="2"/>
      <x:c r="V20" s="2"/>
    </x:row>
    <x:row r="21" ht="21" customHeight="1">
      <x:c r="A21" s="2" t="str">
        <x:v>Opus 5.5 xhigh</x:v>
      </x:c>
      <x:c r="B21" s="12" t="n">
        <x:f>RANK(C21,$C$19:$C$26,0)</x:f>
        <x:v>3</x:v>
      </x:c>
      <x:c r="C21" s="12" t="n">
        <x:f>H8</x:f>
        <x:v>261</x:v>
      </x:c>
      <x:c r="D21" s="23" t="n">
        <x:f>I8</x:f>
        <x:v>87</x:v>
      </x:c>
      <x:c r="E21" s="20" t="n">
        <x:f>J8</x:f>
        <x:v>50.77</x:v>
      </x:c>
      <x:c r="F21" s="23" t="n">
        <x:f>C21/E21</x:f>
        <x:v>5.1408311995272795</x:v>
      </x:c>
      <x:c r="G21" s="23" t="n">
        <x:f>AVERAGE(I129,I139,I147)</x:f>
        <x:v>82</x:v>
      </x:c>
      <x:c r="H21" s="23" t="n">
        <x:f>AVERAGE(J129,J139,J147)</x:f>
        <x:v>91.66666666666667</x:v>
      </x:c>
      <x:c r="I21" s="12" t="str">
        <x:f>IF(COUNTIFS($E$19:$E$26,"&lt;="&amp;E21,$C$19:$C$26,"&gt;="&amp;C21)-COUNTIFS($E$19:$E$26,E21,$C$19:$C$26,C21)&gt;0,"被支配","前沿")</x:f>
        <x:v>被支配</x:v>
      </x:c>
      <x:c r="J21" s="12" t="n">
        <x:f>K8</x:f>
        <x:v>81</x:v>
      </x:c>
      <x:c r="K21" s="12" t="n">
        <x:f>COUNTIF(B8,"&gt;=80")+COUNTIF(D8,"&gt;=80")+COUNTIF(F8,"&gt;=80")</x:f>
        <x:v>3</x:v>
      </x:c>
      <x:c r="L21" s="2"/>
      <x:c r="M21" s="2"/>
      <x:c r="N21" s="2" t="str">
        <x:v>Opus 5.5 xhigh</x:v>
      </x:c>
      <x:c r="O21" s="2" t="n">
        <x:f>LOG10('Task 1'!C6)</x:f>
        <x:v>1.38122341509246</x:v>
      </x:c>
      <x:c r="P21" s="2" t="n">
        <x:f>'Task 1'!D6</x:f>
        <x:v>87</x:v>
      </x:c>
      <x:c r="Q21" s="2"/>
      <x:c r="R21" s="2"/>
      <x:c r="S21" s="2"/>
      <x:c r="T21" s="2"/>
      <x:c r="U21" s="2"/>
      <x:c r="V21" s="2"/>
    </x:row>
    <x:row r="22" ht="21" customHeight="1">
      <x:c r="A22" s="70" t="str">
        <x:v>GPT-6 Sol xhigh</x:v>
      </x:c>
      <x:c r="B22" s="71" t="n">
        <x:f>RANK(C22,$C$19:$C$26,0)</x:f>
        <x:v>4</x:v>
      </x:c>
      <x:c r="C22" s="71" t="n">
        <x:f>H9</x:f>
        <x:v>236</x:v>
      </x:c>
      <x:c r="D22" s="76" t="n">
        <x:f>I9</x:f>
        <x:v>78.66666666666667</x:v>
      </x:c>
      <x:c r="E22" s="74" t="n">
        <x:f>J9</x:f>
        <x:v>6.184</x:v>
      </x:c>
      <x:c r="F22" s="76" t="n">
        <x:f>C22/E22</x:f>
        <x:v>38.16300129366106</x:v>
      </x:c>
      <x:c r="G22" s="76" t="n">
        <x:f>AVERAGE(I127,I136,I144)</x:f>
        <x:v>74.33333333333333</x:v>
      </x:c>
      <x:c r="H22" s="76" t="n">
        <x:f>AVERAGE(J127,J136,J144)</x:f>
        <x:v>83</x:v>
      </x:c>
      <x:c r="I22" s="71" t="str">
        <x:f>IF(COUNTIFS($E$19:$E$26,"&lt;="&amp;E22,$C$19:$C$26,"&gt;="&amp;C22)-COUNTIFS($E$19:$E$26,E22,$C$19:$C$26,C22)&gt;0,"被支配","前沿")</x:f>
        <x:v>前沿</x:v>
      </x:c>
      <x:c r="J22" s="71" t="n">
        <x:f>K9</x:f>
        <x:v>54</x:v>
      </x:c>
      <x:c r="K22" s="71" t="n">
        <x:f>COUNTIF(B9,"&gt;=80")+COUNTIF(D9,"&gt;=80")+COUNTIF(F9,"&gt;=80")</x:f>
        <x:v>2</x:v>
      </x:c>
      <x:c r="L22" s="2"/>
      <x:c r="M22" s="2"/>
      <x:c r="N22" s="2" t="str">
        <x:v>GPT-5.6 Sol xhigh</x:v>
      </x:c>
      <x:c r="O22" s="2" t="n">
        <x:f>LOG10('Task 1'!C2)</x:f>
        <x:v>0.610873000380052</x:v>
      </x:c>
      <x:c r="P22" s="2" t="n">
        <x:f>'Task 1'!D2</x:f>
        <x:v>57</x:v>
      </x:c>
      <x:c r="Q22" s="2"/>
      <x:c r="R22" s="2"/>
      <x:c r="S22" s="2"/>
      <x:c r="T22" s="2"/>
      <x:c r="U22" s="2"/>
      <x:c r="V22" s="2"/>
    </x:row>
    <x:row r="23" ht="21" customHeight="1">
      <x:c r="A23" s="2" t="str">
        <x:v>GPT-5.6 Sol xhigh</x:v>
      </x:c>
      <x:c r="B23" s="12" t="n">
        <x:f>RANK(C23,$C$19:$C$26,0)</x:f>
        <x:v>5</x:v>
      </x:c>
      <x:c r="C23" s="12" t="n">
        <x:f>H10</x:f>
        <x:v>226</x:v>
      </x:c>
      <x:c r="D23" s="23" t="n">
        <x:f>I10</x:f>
        <x:v>75.33333333333333</x:v>
      </x:c>
      <x:c r="E23" s="20" t="n">
        <x:f>J10</x:f>
        <x:v>20.805</x:v>
      </x:c>
      <x:c r="F23" s="23" t="n">
        <x:f>C23/E23</x:f>
        <x:v>10.862773371785629</x:v>
      </x:c>
      <x:c r="G23" s="23" t="n">
        <x:f>AVERAGE(I125,I133,I141)</x:f>
        <x:v>71</x:v>
      </x:c>
      <x:c r="H23" s="23" t="n">
        <x:f>AVERAGE(J125,J133,J141)</x:f>
        <x:v>79.66666666666667</x:v>
      </x:c>
      <x:c r="I23" s="12" t="str">
        <x:f>IF(COUNTIFS($E$19:$E$26,"&lt;="&amp;E23,$C$19:$C$26,"&gt;="&amp;C23)-COUNTIFS($E$19:$E$26,E23,$C$19:$C$26,C23)&gt;0,"被支配","前沿")</x:f>
        <x:v>被支配</x:v>
      </x:c>
      <x:c r="J23" s="12" t="n">
        <x:f>K10</x:f>
        <x:v>57</x:v>
      </x:c>
      <x:c r="K23" s="12" t="n">
        <x:f>COUNTIF(B10,"&gt;=80")+COUNTIF(D10,"&gt;=80")+COUNTIF(F10,"&gt;=80")</x:f>
        <x:v>2</x:v>
      </x:c>
      <x:c r="L23" s="2"/>
      <x:c r="M23" s="2"/>
      <x:c r="N23" s="2" t="str">
        <x:v>GPT-6 Sol xhigh</x:v>
      </x:c>
      <x:c r="O23" s="2" t="n">
        <x:f>LOG10('Task 1'!C4)</x:f>
        <x:v>0.377670439334323</x:v>
      </x:c>
      <x:c r="P23" s="2" t="n">
        <x:f>'Task 1'!D4</x:f>
        <x:v>54</x:v>
      </x:c>
      <x:c r="Q23" s="2"/>
      <x:c r="R23" s="2"/>
      <x:c r="S23" s="2"/>
      <x:c r="T23" s="2"/>
      <x:c r="U23" s="2"/>
      <x:c r="V23" s="2"/>
    </x:row>
    <x:row r="24" ht="21" customHeight="1">
      <x:c r="A24" s="70" t="str">
        <x:v>GPT-6 Luna max</x:v>
      </x:c>
      <x:c r="B24" s="71" t="n">
        <x:f>RANK(C24,$C$19:$C$26,0)</x:f>
        <x:v>6</x:v>
      </x:c>
      <x:c r="C24" s="71" t="n">
        <x:f>H11</x:f>
        <x:v>215</x:v>
      </x:c>
      <x:c r="D24" s="76" t="n">
        <x:f>I11</x:f>
        <x:v>71.66666666666667</x:v>
      </x:c>
      <x:c r="E24" s="74" t="n">
        <x:f>J11</x:f>
        <x:v>0.46399999999999997</x:v>
      </x:c>
      <x:c r="F24" s="76" t="n">
        <x:f>C24/E24</x:f>
        <x:v>463.36206896551727</x:v>
      </x:c>
      <x:c r="G24" s="76" t="n">
        <x:f>AVERAGE(I131,I134,I142)</x:f>
        <x:v>67</x:v>
      </x:c>
      <x:c r="H24" s="76" t="n">
        <x:f>AVERAGE(J131,J134,J142)</x:f>
        <x:v>76.66666666666667</x:v>
      </x:c>
      <x:c r="I24" s="71" t="str">
        <x:f>IF(COUNTIFS($E$19:$E$26,"&lt;="&amp;E24,$C$19:$C$26,"&gt;="&amp;C24)-COUNTIFS($E$19:$E$26,E24,$C$19:$C$26,C24)&gt;0,"被支配","前沿")</x:f>
        <x:v>前沿</x:v>
      </x:c>
      <x:c r="J24" s="71" t="n">
        <x:f>K11</x:f>
        <x:v>53</x:v>
      </x:c>
      <x:c r="K24" s="71" t="n">
        <x:f>COUNTIF(B11,"&gt;=80")+COUNTIF(D11,"&gt;=80")+COUNTIF(F11,"&gt;=80")</x:f>
        <x:v>1</x:v>
      </x:c>
      <x:c r="L24" s="2"/>
      <x:c r="M24" s="2"/>
      <x:c r="N24" s="2" t="str">
        <x:v>GPT-6 Luna max</x:v>
      </x:c>
      <x:c r="O24" s="2" t="n">
        <x:f>LOG10('Task 1'!C8)</x:f>
        <x:v>-0.749579997691106</x:v>
      </x:c>
      <x:c r="P24" s="2" t="n">
        <x:f>'Task 1'!D8</x:f>
        <x:v>53</x:v>
      </x:c>
      <x:c r="Q24" s="2"/>
      <x:c r="R24" s="2"/>
      <x:c r="S24" s="2"/>
      <x:c r="T24" s="2"/>
      <x:c r="U24" s="2"/>
      <x:c r="V24" s="2"/>
    </x:row>
    <x:row r="25" ht="21" customHeight="1">
      <x:c r="A25" s="2" t="str">
        <x:v>DeepSeek V4.1 Flash max</x:v>
      </x:c>
      <x:c r="B25" s="12" t="n">
        <x:f>RANK(C25,$C$19:$C$26,0)</x:f>
        <x:v>7</x:v>
      </x:c>
      <x:c r="C25" s="12" t="n">
        <x:f>H12</x:f>
        <x:v>176</x:v>
      </x:c>
      <x:c r="D25" s="23" t="n">
        <x:f>I12</x:f>
        <x:v>58.666666666666664</x:v>
      </x:c>
      <x:c r="E25" s="20" t="n">
        <x:f>J12</x:f>
        <x:v>1.321</x:v>
      </x:c>
      <x:c r="F25" s="23" t="n">
        <x:f>C25/E25</x:f>
        <x:v>133.2323996971991</x:v>
      </x:c>
      <x:c r="G25" s="23" t="n">
        <x:f>AVERAGE(I132,I140,I148)</x:f>
        <x:v>53.333333333333336</x:v>
      </x:c>
      <x:c r="H25" s="23" t="n">
        <x:f>AVERAGE(J132,J140,J148)</x:f>
        <x:v>65.33333333333333</x:v>
      </x:c>
      <x:c r="I25" s="12" t="str">
        <x:f>IF(COUNTIFS($E$19:$E$26,"&lt;="&amp;E25,$C$19:$C$26,"&gt;="&amp;C25)-COUNTIFS($E$19:$E$26,E25,$C$19:$C$26,C25)&gt;0,"被支配","前沿")</x:f>
        <x:v>被支配</x:v>
      </x:c>
      <x:c r="J25" s="12" t="n">
        <x:f>K12</x:f>
        <x:v>47</x:v>
      </x:c>
      <x:c r="K25" s="12" t="n">
        <x:f>COUNTIF(B12,"&gt;=80")+COUNTIF(D12,"&gt;=80")+COUNTIF(F12,"&gt;=80")</x:f>
        <x:v>0</x:v>
      </x:c>
      <x:c r="L25" s="2"/>
      <x:c r="M25" s="2"/>
      <x:c r="N25" s="2" t="str">
        <x:v>DeepSeek V4.1 Flash max</x:v>
      </x:c>
      <x:c r="O25" s="2" t="n">
        <x:f>LOG10('Task 1'!C9)</x:f>
        <x:v>-0.382999658879101</x:v>
      </x:c>
      <x:c r="P25" s="2" t="n">
        <x:f>'Task 1'!D9</x:f>
        <x:v>47</x:v>
      </x:c>
      <x:c r="Q25" s="2"/>
      <x:c r="R25" s="2"/>
      <x:c r="S25" s="2"/>
      <x:c r="T25" s="2"/>
      <x:c r="U25" s="2"/>
      <x:c r="V25" s="2"/>
    </x:row>
    <x:row r="26" ht="21" customHeight="1">
      <x:c r="A26" s="72" t="str">
        <x:v>Grok 4.7 high</x:v>
      </x:c>
      <x:c r="B26" s="73" t="n">
        <x:f>RANK(C26,$C$19:$C$26,0)</x:f>
        <x:v>8</x:v>
      </x:c>
      <x:c r="C26" s="73" t="n">
        <x:f>H13</x:f>
        <x:v>169</x:v>
      </x:c>
      <x:c r="D26" s="77" t="n">
        <x:f>I13</x:f>
        <x:v>56.333333333333336</x:v>
      </x:c>
      <x:c r="E26" s="75" t="n">
        <x:f>J13</x:f>
        <x:v>14.676</x:v>
      </x:c>
      <x:c r="F26" s="77" t="n">
        <x:f>C26/E26</x:f>
        <x:v>11.515399291360044</x:v>
      </x:c>
      <x:c r="G26" s="77" t="n">
        <x:f>AVERAGE(I128,I138,I146)</x:f>
        <x:v>51.333333333333336</x:v>
      </x:c>
      <x:c r="H26" s="77" t="n">
        <x:f>AVERAGE(J128,J138,J146)</x:f>
        <x:v>62</x:v>
      </x:c>
      <x:c r="I26" s="73" t="str">
        <x:f>IF(COUNTIFS($E$19:$E$26,"&lt;="&amp;E26,$C$19:$C$26,"&gt;="&amp;C26)-COUNTIFS($E$19:$E$26,E26,$C$19:$C$26,C26)&gt;0,"被支配","前沿")</x:f>
        <x:v>被支配</x:v>
      </x:c>
      <x:c r="J26" s="73" t="n">
        <x:f>K13</x:f>
        <x:v>30</x:v>
      </x:c>
      <x:c r="K26" s="73" t="n">
        <x:f>COUNTIF(B13,"&gt;=80")+COUNTIF(D13,"&gt;=80")+COUNTIF(F13,"&gt;=80")</x:f>
        <x:v>0</x:v>
      </x:c>
      <x:c r="L26" s="2"/>
      <x:c r="M26" s="2"/>
      <x:c r="N26" s="2" t="str">
        <x:v>Grok 4.7 high</x:v>
      </x:c>
      <x:c r="O26" s="2" t="n">
        <x:f>LOG10('Task 1'!C5)</x:f>
        <x:v>0.654561554741743</x:v>
      </x:c>
      <x:c r="P26" s="2" t="n">
        <x:f>'Task 1'!D5</x:f>
        <x:v>30</x:v>
      </x:c>
      <x:c r="Q26" s="2"/>
      <x:c r="R26" s="2"/>
      <x:c r="S26" s="2"/>
      <x:c r="T26" s="2"/>
      <x:c r="U26" s="2"/>
      <x:c r="V26" s="2"/>
    </x:row>
    <x:row r="27" ht="21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21" customHeight="1">
      <x:c r="A28" s="4" t="str">
        <x:v>评阅上下限是三题判断范围端点的均值，不是统计置信区间；前沿以中心分数判定。总分 / USD 仅为辅助指标。</x:v>
      </x:c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24" customHeight="1">
      <x:c r="A30" s="27" t="str">
        <x:v>五个评分维度的三题均值</x:v>
      </x:c>
      <x:c r="B30" s="27"/>
      <x:c r="C30" s="27"/>
      <x:c r="D30" s="27"/>
      <x:c r="E30" s="27"/>
      <x:c r="F30" s="27"/>
      <x:c r="G30" s="27"/>
      <x:c r="H30" s="27"/>
      <x:c r="I30" s="27"/>
      <x:c r="J30" s="27"/>
      <x:c r="K30" s="27"/>
      <x:c r="L30" s="2"/>
      <x:c r="M30" s="2"/>
      <x:c r="N30" s="2" t="str">
        <x:v>Model</x:v>
      </x:c>
      <x:c r="O30" s="2" t="str">
        <x:v>log10(USD)</x:v>
      </x:c>
      <x:c r="P30" s="2" t="str">
        <x:v>Score /100</x:v>
      </x:c>
      <x:c r="Q30" s="2"/>
      <x:c r="R30" s="2"/>
      <x:c r="S30" s="2"/>
      <x:c r="T30" s="2"/>
      <x:c r="U30" s="2"/>
      <x:c r="V30" s="2"/>
    </x:row>
    <x:row r="31" ht="35" customHeight="1">
      <x:c r="A31" s="69" t="str">
        <x:v>模型配置</x:v>
      </x:c>
      <x:c r="B31" s="69" t="str">
        <x:v>定义 /15</x:v>
      </x:c>
      <x:c r="C31" s="69" t="str">
        <x:v>校准 /30</x:v>
      </x:c>
      <x:c r="D31" s="69" t="str">
        <x:v>验证 /15</x:v>
      </x:c>
      <x:c r="E31" s="69" t="str">
        <x:v>推进 /30</x:v>
      </x:c>
      <x:c r="F31" s="69" t="str">
        <x:v>结论 /10</x:v>
      </x:c>
      <x:c r="G31" s="69" t="str">
        <x:v>均分 /100</x:v>
      </x:c>
      <x:c r="H31" s="69" t="str">
        <x:v>第 1 题</x:v>
      </x:c>
      <x:c r="I31" s="69" t="str">
        <x:v>第 2 题</x:v>
      </x:c>
      <x:c r="J31" s="69" t="str">
        <x:v>第 3 题</x:v>
      </x:c>
      <x:c r="K31" s="69" t="str">
        <x:v>分差范围</x:v>
      </x:c>
      <x:c r="L31" s="2"/>
      <x:c r="M31" s="2"/>
      <x:c r="N31" s="2" t="str">
        <x:v>GPT-6 Astra high</x:v>
      </x:c>
      <x:c r="O31" s="2" t="n">
        <x:f>LOG10('Task 2'!C6)</x:f>
        <x:v>0.658011396657112</x:v>
      </x:c>
      <x:c r="P31" s="2" t="n">
        <x:f>'Task 2'!D6</x:f>
        <x:v>97</x:v>
      </x:c>
      <x:c r="Q31" s="2"/>
      <x:c r="R31" s="2"/>
      <x:c r="S31" s="2"/>
      <x:c r="T31" s="2"/>
      <x:c r="U31" s="2"/>
      <x:c r="V31" s="2"/>
    </x:row>
    <x:row r="32" ht="21" customHeight="1">
      <x:c r="A32" s="2" t="str">
        <x:v>GPT-6 Astra high</x:v>
      </x:c>
      <x:c r="B32" s="23" t="n">
        <x:f>AVERAGE(C126,C137,C145)</x:f>
        <x:v>14.666666666666666</x:v>
      </x:c>
      <x:c r="C32" s="23" t="n">
        <x:f>AVERAGE(D126,D137,D145)</x:f>
        <x:v>29.333333333333332</x:v>
      </x:c>
      <x:c r="D32" s="23" t="n">
        <x:f>AVERAGE(E126,E137,E145)</x:f>
        <x:v>13.666666666666666</x:v>
      </x:c>
      <x:c r="E32" s="23" t="n">
        <x:f>AVERAGE(F126,F137,F145)</x:f>
        <x:v>28.333333333333332</x:v>
      </x:c>
      <x:c r="F32" s="23" t="n">
        <x:f>AVERAGE(G126,G137,G145)</x:f>
        <x:v>9.666666666666666</x:v>
      </x:c>
      <x:c r="G32" s="23" t="n">
        <x:f>SUM(B32:F32)</x:f>
        <x:v>95.66666666666667</x:v>
      </x:c>
      <x:c r="H32" s="12" t="n">
        <x:f>B6</x:f>
        <x:v>92</x:v>
      </x:c>
      <x:c r="I32" s="12" t="n">
        <x:f>D6</x:f>
        <x:v>97</x:v>
      </x:c>
      <x:c r="J32" s="12" t="n">
        <x:f>F6</x:f>
        <x:v>98</x:v>
      </x:c>
      <x:c r="K32" s="12" t="n">
        <x:f>MAX(H32:J32)-MIN(H32:J32)</x:f>
        <x:v>6</x:v>
      </x:c>
      <x:c r="L32" s="2"/>
      <x:c r="M32" s="2"/>
      <x:c r="N32" s="2" t="str">
        <x:v>GPT-6 Sol max</x:v>
      </x:c>
      <x:c r="O32" s="2" t="n">
        <x:f>LOG10('Task 2'!C4)</x:f>
        <x:v>0.258637282724076</x:v>
      </x:c>
      <x:c r="P32" s="2" t="n">
        <x:f>'Task 2'!D4</x:f>
        <x:v>94</x:v>
      </x:c>
      <x:c r="Q32" s="2"/>
      <x:c r="R32" s="2"/>
      <x:c r="S32" s="2"/>
      <x:c r="T32" s="2"/>
      <x:c r="U32" s="2"/>
      <x:c r="V32" s="2"/>
    </x:row>
    <x:row r="33" ht="21" customHeight="1">
      <x:c r="A33" s="70" t="str">
        <x:v>GPT-6 Sol max</x:v>
      </x:c>
      <x:c r="B33" s="76" t="n">
        <x:f>AVERAGE(C130,C135,C143)</x:f>
        <x:v>14.666666666666666</x:v>
      </x:c>
      <x:c r="C33" s="76" t="n">
        <x:f>AVERAGE(D130,D135,D143)</x:f>
        <x:v>29.333333333333332</x:v>
      </x:c>
      <x:c r="D33" s="76" t="n">
        <x:f>AVERAGE(E130,E135,E143)</x:f>
        <x:v>13</x:v>
      </x:c>
      <x:c r="E33" s="76" t="n">
        <x:f>AVERAGE(F130,F135,F143)</x:f>
        <x:v>27.333333333333332</x:v>
      </x:c>
      <x:c r="F33" s="76" t="n">
        <x:f>AVERAGE(G130,G135,G143)</x:f>
        <x:v>10</x:v>
      </x:c>
      <x:c r="G33" s="76" t="n">
        <x:f>SUM(B33:F33)</x:f>
        <x:v>94.33333333333333</x:v>
      </x:c>
      <x:c r="H33" s="71" t="n">
        <x:f>B7</x:f>
        <x:v>94</x:v>
      </x:c>
      <x:c r="I33" s="71" t="n">
        <x:f>D7</x:f>
        <x:v>94</x:v>
      </x:c>
      <x:c r="J33" s="71" t="n">
        <x:f>F7</x:f>
        <x:v>95</x:v>
      </x:c>
      <x:c r="K33" s="71" t="n">
        <x:f>MAX(H33:J33)-MIN(H33:J33)</x:f>
        <x:v>1</x:v>
      </x:c>
      <x:c r="L33" s="2"/>
      <x:c r="M33" s="2"/>
      <x:c r="N33" s="2" t="str">
        <x:v>Opus 5.5 xhigh</x:v>
      </x:c>
      <x:c r="O33" s="2" t="n">
        <x:f>LOG10('Task 2'!C8)</x:f>
        <x:v>1.09096307659573</x:v>
      </x:c>
      <x:c r="P33" s="2" t="n">
        <x:f>'Task 2'!D8</x:f>
        <x:v>93</x:v>
      </x:c>
      <x:c r="Q33" s="2"/>
      <x:c r="R33" s="2"/>
      <x:c r="S33" s="2"/>
      <x:c r="T33" s="2"/>
      <x:c r="U33" s="2"/>
      <x:c r="V33" s="2"/>
    </x:row>
    <x:row r="34" ht="21" customHeight="1">
      <x:c r="A34" s="2" t="str">
        <x:v>Opus 5.5 xhigh</x:v>
      </x:c>
      <x:c r="B34" s="23" t="n">
        <x:f>AVERAGE(C129,C139,C147)</x:f>
        <x:v>13.666666666666666</x:v>
      </x:c>
      <x:c r="C34" s="23" t="n">
        <x:f>AVERAGE(D129,D139,D147)</x:f>
        <x:v>28.333333333333332</x:v>
      </x:c>
      <x:c r="D34" s="23" t="n">
        <x:f>AVERAGE(E129,E139,E147)</x:f>
        <x:v>13</x:v>
      </x:c>
      <x:c r="E34" s="23" t="n">
        <x:f>AVERAGE(F129,F139,F147)</x:f>
        <x:v>25.666666666666668</x:v>
      </x:c>
      <x:c r="F34" s="23" t="n">
        <x:f>AVERAGE(G129,G139,G147)</x:f>
        <x:v>6.333333333333333</x:v>
      </x:c>
      <x:c r="G34" s="23" t="n">
        <x:f>SUM(B34:F34)</x:f>
        <x:v>87</x:v>
      </x:c>
      <x:c r="H34" s="12" t="n">
        <x:f>B8</x:f>
        <x:v>87</x:v>
      </x:c>
      <x:c r="I34" s="12" t="n">
        <x:f>D8</x:f>
        <x:v>93</x:v>
      </x:c>
      <x:c r="J34" s="12" t="n">
        <x:f>F8</x:f>
        <x:v>81</x:v>
      </x:c>
      <x:c r="K34" s="12" t="n">
        <x:f>MAX(H34:J34)-MIN(H34:J34)</x:f>
        <x:v>12</x:v>
      </x:c>
      <x:c r="L34" s="2"/>
      <x:c r="M34" s="2"/>
      <x:c r="N34" s="2" t="str">
        <x:v>GPT-6 Sol xhigh</x:v>
      </x:c>
      <x:c r="O34" s="2" t="n">
        <x:f>LOG10('Task 2'!C5)</x:f>
        <x:v>0.33344727449675</x:v>
      </x:c>
      <x:c r="P34" s="2" t="n">
        <x:f>'Task 2'!D5</x:f>
        <x:v>92</x:v>
      </x:c>
      <x:c r="Q34" s="2"/>
      <x:c r="R34" s="2"/>
      <x:c r="S34" s="2"/>
      <x:c r="T34" s="2"/>
      <x:c r="U34" s="2"/>
      <x:c r="V34" s="2"/>
    </x:row>
    <x:row r="35" ht="21" customHeight="1">
      <x:c r="A35" s="70" t="str">
        <x:v>GPT-6 Sol xhigh</x:v>
      </x:c>
      <x:c r="B35" s="76" t="n">
        <x:f>AVERAGE(C127,C136,C144)</x:f>
        <x:v>14.666666666666666</x:v>
      </x:c>
      <x:c r="C35" s="76" t="n">
        <x:f>AVERAGE(D127,D136,D144)</x:f>
        <x:v>26.333333333333332</x:v>
      </x:c>
      <x:c r="D35" s="76" t="n">
        <x:f>AVERAGE(E127,E136,E144)</x:f>
        <x:v>10</x:v>
      </x:c>
      <x:c r="E35" s="76" t="n">
        <x:f>AVERAGE(F127,F136,F144)</x:f>
        <x:v>19</x:v>
      </x:c>
      <x:c r="F35" s="76" t="n">
        <x:f>AVERAGE(G127,G136,G144)</x:f>
        <x:v>8.666666666666666</x:v>
      </x:c>
      <x:c r="G35" s="76" t="n">
        <x:f>SUM(B35:F35)</x:f>
        <x:v>78.66666666666667</x:v>
      </x:c>
      <x:c r="H35" s="71" t="n">
        <x:f>B9</x:f>
        <x:v>54</x:v>
      </x:c>
      <x:c r="I35" s="71" t="n">
        <x:f>D9</x:f>
        <x:v>92</x:v>
      </x:c>
      <x:c r="J35" s="71" t="n">
        <x:f>F9</x:f>
        <x:v>90</x:v>
      </x:c>
      <x:c r="K35" s="71" t="n">
        <x:f>MAX(H35:J35)-MIN(H35:J35)</x:f>
        <x:v>38</x:v>
      </x:c>
      <x:c r="L35" s="2"/>
      <x:c r="M35" s="2"/>
      <x:c r="N35" s="2" t="str">
        <x:v>GPT-5.6 Sol xhigh</x:v>
      </x:c>
      <x:c r="O35" s="2" t="n">
        <x:f>LOG10('Task 2'!C2)</x:f>
        <x:v>0.441380884916511</x:v>
      </x:c>
      <x:c r="P35" s="2" t="n">
        <x:f>'Task 2'!D2</x:f>
        <x:v>87</x:v>
      </x:c>
      <x:c r="Q35" s="2"/>
      <x:c r="R35" s="2"/>
      <x:c r="S35" s="2"/>
      <x:c r="T35" s="2"/>
      <x:c r="U35" s="2"/>
      <x:c r="V35" s="2"/>
    </x:row>
    <x:row r="36" ht="21" customHeight="1">
      <x:c r="A36" s="2" t="str">
        <x:v>GPT-5.6 Sol xhigh</x:v>
      </x:c>
      <x:c r="B36" s="23" t="n">
        <x:f>AVERAGE(C125,C133,C141)</x:f>
        <x:v>14</x:v>
      </x:c>
      <x:c r="C36" s="23" t="n">
        <x:f>AVERAGE(D125,D133,D141)</x:f>
        <x:v>25</x:v>
      </x:c>
      <x:c r="D36" s="23" t="n">
        <x:f>AVERAGE(E125,E133,E141)</x:f>
        <x:v>10.333333333333334</x:v>
      </x:c>
      <x:c r="E36" s="23" t="n">
        <x:f>AVERAGE(F125,F133,F141)</x:f>
        <x:v>18.333333333333332</x:v>
      </x:c>
      <x:c r="F36" s="23" t="n">
        <x:f>AVERAGE(G125,G133,G141)</x:f>
        <x:v>7.666666666666667</x:v>
      </x:c>
      <x:c r="G36" s="23" t="n">
        <x:f>SUM(B36:F36)</x:f>
        <x:v>75.33333333333334</x:v>
      </x:c>
      <x:c r="H36" s="12" t="n">
        <x:f>B10</x:f>
        <x:v>57</x:v>
      </x:c>
      <x:c r="I36" s="12" t="n">
        <x:f>D10</x:f>
        <x:v>87</x:v>
      </x:c>
      <x:c r="J36" s="12" t="n">
        <x:f>F10</x:f>
        <x:v>82</x:v>
      </x:c>
      <x:c r="K36" s="12" t="n">
        <x:f>MAX(H36:J36)-MIN(H36:J36)</x:f>
        <x:v>30</x:v>
      </x:c>
      <x:c r="L36" s="2"/>
      <x:c r="M36" s="2"/>
      <x:c r="N36" s="2" t="str">
        <x:v>GPT-6 Luna max</x:v>
      </x:c>
      <x:c r="O36" s="2" t="n">
        <x:f>LOG10('Task 2'!C3)</x:f>
        <x:v>-0.844663962534938</x:v>
      </x:c>
      <x:c r="P36" s="2" t="n">
        <x:f>'Task 2'!D3</x:f>
        <x:v>86</x:v>
      </x:c>
      <x:c r="Q36" s="2"/>
      <x:c r="R36" s="2"/>
      <x:c r="S36" s="2"/>
      <x:c r="T36" s="2"/>
      <x:c r="U36" s="2"/>
      <x:c r="V36" s="2"/>
    </x:row>
    <x:row r="37" ht="21" customHeight="1">
      <x:c r="A37" s="70" t="str">
        <x:v>GPT-6 Luna max</x:v>
      </x:c>
      <x:c r="B37" s="76" t="n">
        <x:f>AVERAGE(C131,C134,C142)</x:f>
        <x:v>14.666666666666666</x:v>
      </x:c>
      <x:c r="C37" s="76" t="n">
        <x:f>AVERAGE(D131,D134,D142)</x:f>
        <x:v>25</x:v>
      </x:c>
      <x:c r="D37" s="76" t="n">
        <x:f>AVERAGE(E131,E134,E142)</x:f>
        <x:v>9</x:v>
      </x:c>
      <x:c r="E37" s="76" t="n">
        <x:f>AVERAGE(F131,F134,F142)</x:f>
        <x:v>14.666666666666666</x:v>
      </x:c>
      <x:c r="F37" s="76" t="n">
        <x:f>AVERAGE(G131,G134,G142)</x:f>
        <x:v>8.333333333333334</x:v>
      </x:c>
      <x:c r="G37" s="76" t="n">
        <x:f>SUM(B37:F37)</x:f>
        <x:v>71.66666666666666</x:v>
      </x:c>
      <x:c r="H37" s="71" t="n">
        <x:f>B11</x:f>
        <x:v>53</x:v>
      </x:c>
      <x:c r="I37" s="71" t="n">
        <x:f>D11</x:f>
        <x:v>86</x:v>
      </x:c>
      <x:c r="J37" s="71" t="n">
        <x:f>F11</x:f>
        <x:v>76</x:v>
      </x:c>
      <x:c r="K37" s="71" t="n">
        <x:f>MAX(H37:J37)-MIN(H37:J37)</x:f>
        <x:v>33</x:v>
      </x:c>
      <x:c r="L37" s="2"/>
      <x:c r="M37" s="2"/>
      <x:c r="N37" s="2" t="str">
        <x:v>DeepSeek V4.1 Flash max</x:v>
      </x:c>
      <x:c r="O37" s="2" t="n">
        <x:f>LOG10('Task 2'!C9)</x:f>
        <x:v>-0.366531544420413</x:v>
      </x:c>
      <x:c r="P37" s="2" t="n">
        <x:f>'Task 2'!D9</x:f>
        <x:v>75</x:v>
      </x:c>
      <x:c r="Q37" s="2"/>
      <x:c r="R37" s="2"/>
      <x:c r="S37" s="2"/>
      <x:c r="T37" s="2"/>
      <x:c r="U37" s="2"/>
      <x:c r="V37" s="2"/>
    </x:row>
    <x:row r="38" ht="21" customHeight="1">
      <x:c r="A38" s="2" t="str">
        <x:v>DeepSeek V4.1 Flash max</x:v>
      </x:c>
      <x:c r="B38" s="23" t="n">
        <x:f>AVERAGE(C132,C140,C148)</x:f>
        <x:v>12.333333333333334</x:v>
      </x:c>
      <x:c r="C38" s="23" t="n">
        <x:f>AVERAGE(D132,D140,D148)</x:f>
        <x:v>22.666666666666668</x:v>
      </x:c>
      <x:c r="D38" s="23" t="n">
        <x:f>AVERAGE(E132,E140,E148)</x:f>
        <x:v>8</x:v>
      </x:c>
      <x:c r="E38" s="23" t="n">
        <x:f>AVERAGE(F132,F140,F148)</x:f>
        <x:v>11.666666666666666</x:v>
      </x:c>
      <x:c r="F38" s="23" t="n">
        <x:f>AVERAGE(G132,G140,G148)</x:f>
        <x:v>4</x:v>
      </x:c>
      <x:c r="G38" s="23" t="n">
        <x:f>SUM(B38:F38)</x:f>
        <x:v>58.666666666666664</x:v>
      </x:c>
      <x:c r="H38" s="12" t="n">
        <x:f>B12</x:f>
        <x:v>47</x:v>
      </x:c>
      <x:c r="I38" s="12" t="n">
        <x:f>D12</x:f>
        <x:v>75</x:v>
      </x:c>
      <x:c r="J38" s="12" t="n">
        <x:f>F12</x:f>
        <x:v>54</x:v>
      </x:c>
      <x:c r="K38" s="12" t="n">
        <x:f>MAX(H38:J38)-MIN(H38:J38)</x:f>
        <x:v>28</x:v>
      </x:c>
      <x:c r="L38" s="2"/>
      <x:c r="M38" s="2"/>
      <x:c r="N38" s="2" t="str">
        <x:v>Grok 4.7 high</x:v>
      </x:c>
      <x:c r="O38" s="2" t="n">
        <x:f>LOG10('Task 2'!C7)</x:f>
        <x:v>0.630834517828051</x:v>
      </x:c>
      <x:c r="P38" s="2" t="n">
        <x:f>'Task 2'!D7</x:f>
        <x:v>69</x:v>
      </x:c>
      <x:c r="Q38" s="2"/>
      <x:c r="R38" s="2"/>
      <x:c r="S38" s="2"/>
      <x:c r="T38" s="2"/>
      <x:c r="U38" s="2"/>
      <x:c r="V38" s="2"/>
    </x:row>
    <x:row r="39" ht="21" customHeight="1">
      <x:c r="A39" s="72" t="str">
        <x:v>Grok 4.7 high</x:v>
      </x:c>
      <x:c r="B39" s="77" t="n">
        <x:f>AVERAGE(C128,C138,C146)</x:f>
        <x:v>12</x:v>
      </x:c>
      <x:c r="C39" s="77" t="n">
        <x:f>AVERAGE(D128,D138,D146)</x:f>
        <x:v>19.666666666666668</x:v>
      </x:c>
      <x:c r="D39" s="77" t="n">
        <x:f>AVERAGE(E128,E138,E146)</x:f>
        <x:v>8.333333333333334</x:v>
      </x:c>
      <x:c r="E39" s="77" t="n">
        <x:f>AVERAGE(F128,F138,F146)</x:f>
        <x:v>10.666666666666666</x:v>
      </x:c>
      <x:c r="F39" s="77" t="n">
        <x:f>AVERAGE(G128,G138,G146)</x:f>
        <x:v>5.666666666666667</x:v>
      </x:c>
      <x:c r="G39" s="77" t="n">
        <x:f>SUM(B39:F39)</x:f>
        <x:v>56.33333333333333</x:v>
      </x:c>
      <x:c r="H39" s="73" t="n">
        <x:f>B13</x:f>
        <x:v>30</x:v>
      </x:c>
      <x:c r="I39" s="73" t="n">
        <x:f>D13</x:f>
        <x:v>69</x:v>
      </x:c>
      <x:c r="J39" s="73" t="n">
        <x:f>F13</x:f>
        <x:v>70</x:v>
      </x:c>
      <x:c r="K39" s="73" t="n">
        <x:f>MAX(H39:J39)-MIN(H39:J39)</x:f>
        <x:v>40</x:v>
      </x:c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21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</x:row>
    <x:row r="41" ht="17.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</x:row>
    <x:row r="42" ht="17.2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 t="str">
        <x:v>Model</x:v>
      </x:c>
      <x:c r="O42" s="2" t="str">
        <x:v>log10(USD)</x:v>
      </x:c>
      <x:c r="P42" s="2" t="str">
        <x:v>Score /100</x:v>
      </x:c>
      <x:c r="Q42" s="2"/>
      <x:c r="R42" s="2"/>
      <x:c r="S42" s="2"/>
      <x:c r="T42" s="2"/>
      <x:c r="U42" s="2"/>
      <x:c r="V42" s="2"/>
    </x:row>
    <x:row r="43" ht="17.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 t="str">
        <x:v>GPT-6 Astra high</x:v>
      </x:c>
      <x:c r="O43" s="2" t="n">
        <x:f>LOG10('Task 3'!C6)</x:f>
        <x:v>0.623869268350302</x:v>
      </x:c>
      <x:c r="P43" s="2" t="n">
        <x:f>'Task 3'!D6</x:f>
        <x:v>98</x:v>
      </x:c>
      <x:c r="Q43" s="2"/>
      <x:c r="R43" s="2"/>
      <x:c r="S43" s="2"/>
      <x:c r="T43" s="2"/>
      <x:c r="U43" s="2"/>
      <x:c r="V43" s="2"/>
    </x:row>
    <x:row r="44" ht="17.2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 t="str">
        <x:v>GPT-6 Sol max</x:v>
      </x:c>
      <x:c r="O44" s="2" t="n">
        <x:f>LOG10('Task 3'!C4)</x:f>
        <x:v>0.3654879848909</x:v>
      </x:c>
      <x:c r="P44" s="2" t="n">
        <x:f>'Task 3'!D4</x:f>
        <x:v>95</x:v>
      </x:c>
      <x:c r="Q44" s="2"/>
      <x:c r="R44" s="2"/>
      <x:c r="S44" s="2"/>
      <x:c r="T44" s="2"/>
      <x:c r="U44" s="2"/>
      <x:c r="V44" s="2"/>
    </x:row>
    <x:row r="45" ht="17.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 t="str">
        <x:v>GPT-6 Sol xhigh</x:v>
      </x:c>
      <x:c r="O45" s="2" t="n">
        <x:f>LOG10('Task 3'!C5)</x:f>
        <x:v>0.215637563435062</x:v>
      </x:c>
      <x:c r="P45" s="2" t="n">
        <x:f>'Task 3'!D5</x:f>
        <x:v>90</x:v>
      </x:c>
      <x:c r="Q45" s="2"/>
      <x:c r="R45" s="2"/>
      <x:c r="S45" s="2"/>
      <x:c r="T45" s="2"/>
      <x:c r="U45" s="2"/>
      <x:c r="V45" s="2"/>
    </x:row>
    <x:row r="46" ht="17.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 t="str">
        <x:v>GPT-5.6 Sol xhigh</x:v>
      </x:c>
      <x:c r="O46" s="2" t="n">
        <x:f>LOG10('Task 3'!C2)</x:f>
        <x:v>1.14488541828714</x:v>
      </x:c>
      <x:c r="P46" s="2" t="n">
        <x:f>'Task 3'!D2</x:f>
        <x:v>82</x:v>
      </x:c>
      <x:c r="Q46" s="2"/>
      <x:c r="R46" s="2"/>
      <x:c r="S46" s="2"/>
      <x:c r="T46" s="2"/>
      <x:c r="U46" s="2"/>
      <x:c r="V46" s="2"/>
    </x:row>
    <x:row r="47" ht="17.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 t="str">
        <x:v>Opus 5.5 xhigh</x:v>
      </x:c>
      <x:c r="O47" s="2" t="n">
        <x:f>LOG10('Task 3'!C8)</x:f>
        <x:v>1.15787967438915</x:v>
      </x:c>
      <x:c r="P47" s="2" t="n">
        <x:f>'Task 3'!D8</x:f>
        <x:v>81</x:v>
      </x:c>
      <x:c r="Q47" s="2"/>
      <x:c r="R47" s="2"/>
      <x:c r="S47" s="2"/>
      <x:c r="T47" s="2"/>
      <x:c r="U47" s="2"/>
      <x:c r="V47" s="2"/>
    </x:row>
    <x:row r="48" ht="17.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 t="str">
        <x:v>GPT-6 Luna max</x:v>
      </x:c>
      <x:c r="O48" s="2" t="n">
        <x:f>LOG10('Task 3'!C3)</x:f>
        <x:v>-0.844663962534938</x:v>
      </x:c>
      <x:c r="P48" s="2" t="n">
        <x:f>'Task 3'!D3</x:f>
        <x:v>76</x:v>
      </x:c>
      <x:c r="Q48" s="2"/>
      <x:c r="R48" s="2"/>
      <x:c r="S48" s="2"/>
      <x:c r="T48" s="2"/>
      <x:c r="U48" s="2"/>
      <x:c r="V48" s="2"/>
    </x:row>
    <x:row r="49" ht="17.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 t="str">
        <x:v>Grok 4.7 high</x:v>
      </x:c>
      <x:c r="O49" s="2" t="n">
        <x:f>LOG10('Task 3'!C7)</x:f>
        <x:v>0.769967801329442</x:v>
      </x:c>
      <x:c r="P49" s="2" t="n">
        <x:f>'Task 3'!D7</x:f>
        <x:v>70</x:v>
      </x:c>
      <x:c r="Q49" s="2"/>
      <x:c r="R49" s="2"/>
      <x:c r="S49" s="2"/>
      <x:c r="T49" s="2"/>
      <x:c r="U49" s="2"/>
      <x:c r="V49" s="2"/>
    </x:row>
    <x:row r="50" ht="17.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 t="str">
        <x:v>DeepSeek V4.1 Flash max</x:v>
      </x:c>
      <x:c r="O50" s="2" t="n">
        <x:f>LOG10('Task 3'!C9)</x:f>
        <x:v>-0.321481620959886</x:v>
      </x:c>
      <x:c r="P50" s="2" t="n">
        <x:f>'Task 3'!D9</x:f>
        <x:v>54</x:v>
      </x:c>
      <x:c r="Q50" s="2"/>
      <x:c r="R50" s="2"/>
      <x:c r="S50" s="2"/>
      <x:c r="T50" s="2"/>
      <x:c r="U50" s="2"/>
      <x:c r="V50" s="2"/>
    </x:row>
    <x:row r="51" ht="17.2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</x:row>
    <x:row r="52" ht="17.2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</x:row>
    <x:row r="53" ht="17.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</x:row>
    <x:row r="54" ht="17.2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</x:row>
    <x:row r="55" ht="17.2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7.2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7.2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7.2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7.2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7.2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7.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7.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7.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7.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7.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7.2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7.2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7.2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7.2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7.2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7.2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7.2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7.2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7.2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7.2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7.2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7.2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7.2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7.2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7.2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  <x:row r="81" ht="17.25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</x:row>
    <x:row r="82" ht="17.25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</x:row>
    <x:row r="83" ht="17.25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</x:row>
    <x:row r="84" ht="17.25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</x:row>
    <x:row r="85" ht="17.25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</x:row>
    <x:row r="86" ht="17.25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</x:row>
    <x:row r="87" ht="17.25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</x:row>
    <x:row r="88" ht="24" customHeight="1">
      <x:c r="A88" s="27" t="str">
        <x:v>事后按题选型：512 种组合中的代表方案</x:v>
      </x:c>
      <x:c r="B88" s="27"/>
      <x:c r="C88" s="27"/>
      <x:c r="D88" s="27"/>
      <x:c r="E88" s="27"/>
      <x:c r="F88" s="27"/>
      <x:c r="G88" s="27"/>
      <x:c r="H88" s="27"/>
      <x:c r="I88" s="27"/>
      <x:c r="J88" s="27"/>
      <x:c r="K88" s="27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</x:row>
    <x:row r="90" ht="35" customHeight="1">
      <x:c r="A90" s="69" t="str">
        <x:v>选择方案</x:v>
      </x:c>
      <x:c r="B90" s="69" t="str">
        <x:v>总分 /300</x:v>
      </x:c>
      <x:c r="C90" s="69" t="str">
        <x:v>均分 /100</x:v>
      </x:c>
      <x:c r="D90" s="69" t="str">
        <x:v>总成本 USD</x:v>
      </x:c>
      <x:c r="E90" s="69" t="str">
        <x:v>题 1 分</x:v>
      </x:c>
      <x:c r="F90" s="69" t="str">
        <x:v>题 2 分</x:v>
      </x:c>
      <x:c r="G90" s="69" t="str">
        <x:v>题 3 分</x:v>
      </x:c>
      <x:c r="H90" s="69" t="str">
        <x:v>题 1 USD</x:v>
      </x:c>
      <x:c r="I90" s="69" t="str">
        <x:v>题 2 USD</x:v>
      </x:c>
      <x:c r="J90" s="69" t="str">
        <x:v>题 3 USD</x:v>
      </x:c>
      <x:c r="K90" s="69" t="str">
        <x:v>回答编号</x:v>
      </x:c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</x:row>
    <x:row r="91" ht="31.5" customHeight="1">
      <x:c r="A91" s="31" t="str">
        <x:v>三题均用 Luna max</x:v>
      </x:c>
      <x:c r="B91" s="12" t="n">
        <x:f>SUM(E91:G91)</x:f>
        <x:v>215</x:v>
      </x:c>
      <x:c r="C91" s="23" t="n">
        <x:f>B91/3</x:f>
        <x:v>71.66666666666667</x:v>
      </x:c>
      <x:c r="D91" s="20" t="n">
        <x:f>SUM(H91:J91)</x:f>
        <x:v>0.46399999999999997</x:v>
      </x:c>
      <x:c r="E91" s="12" t="n">
        <x:f>'Task 1'!D8</x:f>
        <x:v>53</x:v>
      </x:c>
      <x:c r="F91" s="12" t="n">
        <x:f>'Task 2'!D3</x:f>
        <x:v>86</x:v>
      </x:c>
      <x:c r="G91" s="12" t="n">
        <x:f>'Task 3'!D3</x:f>
        <x:v>76</x:v>
      </x:c>
      <x:c r="H91" s="20" t="n">
        <x:f>'Task 1'!C8</x:f>
        <x:v>0.178</x:v>
      </x:c>
      <x:c r="I91" s="20" t="n">
        <x:f>'Task 2'!C3</x:f>
        <x:v>0.143</x:v>
      </x:c>
      <x:c r="J91" s="20" t="n">
        <x:f>'Task 3'!C3</x:f>
        <x:v>0.143</x:v>
      </x:c>
      <x:c r="K91" s="61" t="str">
        <x:v>s_1c / 2b / 3b</x:v>
      </x:c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</x:row>
    <x:row r="92" ht="31.5" customHeight="1">
      <x:c r="A92" s="78" t="str">
        <x:v>每题至少 75 分：最低成本</x:v>
      </x:c>
      <x:c r="B92" s="71" t="n">
        <x:f>SUM(E92:G92)</x:f>
        <x:v>256</x:v>
      </x:c>
      <x:c r="C92" s="76" t="n">
        <x:f>B92/3</x:f>
        <x:v>85.33333333333333</x:v>
      </x:c>
      <x:c r="D92" s="74" t="n">
        <x:f>SUM(H92:J92)</x:f>
        <x:v>4.404</x:v>
      </x:c>
      <x:c r="E92" s="71" t="n">
        <x:f>'Task 1'!D7</x:f>
        <x:v>94</x:v>
      </x:c>
      <x:c r="F92" s="71" t="n">
        <x:f>'Task 2'!D3</x:f>
        <x:v>86</x:v>
      </x:c>
      <x:c r="G92" s="71" t="n">
        <x:f>'Task 3'!D3</x:f>
        <x:v>76</x:v>
      </x:c>
      <x:c r="H92" s="74" t="n">
        <x:f>'Task 1'!C7</x:f>
        <x:v>4.118</x:v>
      </x:c>
      <x:c r="I92" s="74" t="n">
        <x:f>'Task 2'!C3</x:f>
        <x:v>0.143</x:v>
      </x:c>
      <x:c r="J92" s="74" t="n">
        <x:f>'Task 3'!C3</x:f>
        <x:v>0.143</x:v>
      </x:c>
      <x:c r="K92" s="80" t="str">
        <x:v>s_1b / 2b / 3b</x:v>
      </x:c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</x:row>
    <x:row r="93" ht="31.5" customHeight="1">
      <x:c r="A93" s="31" t="str">
        <x:v>每题至少 80 分：最低成本</x:v>
      </x:c>
      <x:c r="B93" s="12" t="n">
        <x:f>SUM(E93:G93)</x:f>
        <x:v>270</x:v>
      </x:c>
      <x:c r="C93" s="23" t="n">
        <x:f>B93/3</x:f>
        <x:v>90</x:v>
      </x:c>
      <x:c r="D93" s="20" t="n">
        <x:f>SUM(H93:J93)</x:f>
        <x:v>5.904</x:v>
      </x:c>
      <x:c r="E93" s="12" t="n">
        <x:f>'Task 1'!D7</x:f>
        <x:v>94</x:v>
      </x:c>
      <x:c r="F93" s="12" t="n">
        <x:f>'Task 2'!D3</x:f>
        <x:v>86</x:v>
      </x:c>
      <x:c r="G93" s="12" t="n">
        <x:f>'Task 3'!D5</x:f>
        <x:v>90</x:v>
      </x:c>
      <x:c r="H93" s="20" t="n">
        <x:f>'Task 1'!C7</x:f>
        <x:v>4.118</x:v>
      </x:c>
      <x:c r="I93" s="20" t="n">
        <x:f>'Task 2'!C3</x:f>
        <x:v>0.143</x:v>
      </x:c>
      <x:c r="J93" s="20" t="n">
        <x:f>'Task 3'!C5</x:f>
        <x:v>1.643</x:v>
      </x:c>
      <x:c r="K93" s="61" t="str">
        <x:v>s_1b / 2b / 3d</x:v>
      </x:c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</x:row>
    <x:row r="94" ht="31.5" customHeight="1">
      <x:c r="A94" s="78" t="str">
        <x:v>每题至少 90 分：最低成本</x:v>
      </x:c>
      <x:c r="B94" s="71" t="n">
        <x:f>SUM(E94:G94)</x:f>
        <x:v>278</x:v>
      </x:c>
      <x:c r="C94" s="76" t="n">
        <x:f>B94/3</x:f>
        <x:v>92.66666666666667</x:v>
      </x:c>
      <x:c r="D94" s="74" t="n">
        <x:f>SUM(H94:J94)</x:f>
        <x:v>7.575</x:v>
      </x:c>
      <x:c r="E94" s="71" t="n">
        <x:f>'Task 1'!D7</x:f>
        <x:v>94</x:v>
      </x:c>
      <x:c r="F94" s="71" t="n">
        <x:f>'Task 2'!D4</x:f>
        <x:v>94</x:v>
      </x:c>
      <x:c r="G94" s="71" t="n">
        <x:f>'Task 3'!D5</x:f>
        <x:v>90</x:v>
      </x:c>
      <x:c r="H94" s="74" t="n">
        <x:f>'Task 1'!C7</x:f>
        <x:v>4.118</x:v>
      </x:c>
      <x:c r="I94" s="74" t="n">
        <x:f>'Task 2'!C4</x:f>
        <x:v>1.814</x:v>
      </x:c>
      <x:c r="J94" s="74" t="n">
        <x:f>'Task 3'!C5</x:f>
        <x:v>1.643</x:v>
      </x:c>
      <x:c r="K94" s="80" t="str">
        <x:v>s_1b / 2c / 3d</x:v>
      </x:c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</x:row>
    <x:row r="95" ht="31.5" customHeight="1">
      <x:c r="A95" s="31" t="str">
        <x:v>三题均用 Sol max</x:v>
      </x:c>
      <x:c r="B95" s="12" t="n">
        <x:f>SUM(E95:G95)</x:f>
        <x:v>283</x:v>
      </x:c>
      <x:c r="C95" s="23" t="n">
        <x:f>B95/3</x:f>
        <x:v>94.33333333333333</x:v>
      </x:c>
      <x:c r="D95" s="20" t="n">
        <x:f>SUM(H95:J95)</x:f>
        <x:v>8.252</x:v>
      </x:c>
      <x:c r="E95" s="12" t="n">
        <x:f>'Task 1'!D7</x:f>
        <x:v>94</x:v>
      </x:c>
      <x:c r="F95" s="12" t="n">
        <x:f>'Task 2'!D4</x:f>
        <x:v>94</x:v>
      </x:c>
      <x:c r="G95" s="12" t="n">
        <x:f>'Task 3'!D4</x:f>
        <x:v>95</x:v>
      </x:c>
      <x:c r="H95" s="20" t="n">
        <x:f>'Task 1'!C7</x:f>
        <x:v>4.118</x:v>
      </x:c>
      <x:c r="I95" s="20" t="n">
        <x:f>'Task 2'!C4</x:f>
        <x:v>1.814</x:v>
      </x:c>
      <x:c r="J95" s="20" t="n">
        <x:f>'Task 3'!C4</x:f>
        <x:v>2.32</x:v>
      </x:c>
      <x:c r="K95" s="61" t="str">
        <x:v>s_1b / 2c / 3c</x:v>
      </x:c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</x:row>
    <x:row r="96" ht="31.5" customHeight="1">
      <x:c r="A96" s="79" t="str">
        <x:v>逐题最高分组合</x:v>
      </x:c>
      <x:c r="B96" s="73" t="n">
        <x:f>SUM(E96:G96)</x:f>
        <x:v>289</x:v>
      </x:c>
      <x:c r="C96" s="77" t="n">
        <x:f>B96/3</x:f>
        <x:v>96.33333333333333</x:v>
      </x:c>
      <x:c r="D96" s="75" t="n">
        <x:f>SUM(H96:J96)</x:f>
        <x:v>12.873999999999999</x:v>
      </x:c>
      <x:c r="E96" s="73" t="n">
        <x:f>'Task 1'!D7</x:f>
        <x:v>94</x:v>
      </x:c>
      <x:c r="F96" s="73" t="n">
        <x:f>'Task 2'!D6</x:f>
        <x:v>97</x:v>
      </x:c>
      <x:c r="G96" s="73" t="n">
        <x:f>'Task 3'!D6</x:f>
        <x:v>98</x:v>
      </x:c>
      <x:c r="H96" s="75" t="n">
        <x:f>'Task 1'!C7</x:f>
        <x:v>4.118</x:v>
      </x:c>
      <x:c r="I96" s="75" t="n">
        <x:f>'Task 2'!C6</x:f>
        <x:v>4.55</x:v>
      </x:c>
      <x:c r="J96" s="75" t="n">
        <x:f>'Task 3'!C6</x:f>
        <x:v>4.206</x:v>
      </x:c>
      <x:c r="K96" s="81" t="str">
        <x:v>s_1b / 2e / 3e</x:v>
      </x:c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</x:row>
    <x:row r="97" ht="21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</x:row>
    <x:row r="98" ht="21" customHeight="1">
      <x:c r="A98" s="4" t="str">
        <x:v>组合利用本次已知得分选题，不代表未来新题可预先取得同样效果；完整选型名称见分析报告。</x:v>
      </x:c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</x:row>
    <x:row r="99" ht="21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</x:row>
    <x:row r="100" ht="24" customHeight="1">
      <x:c r="A100" s="27" t="str">
        <x:v>统一模型配置的边际成本</x:v>
      </x:c>
      <x:c r="B100" s="27"/>
      <x:c r="C100" s="27"/>
      <x:c r="D100" s="27"/>
      <x:c r="E100" s="27"/>
      <x:c r="F100" s="27"/>
      <x:c r="G100" s="27"/>
      <x:c r="H100" s="27"/>
      <x:c r="I100" s="27"/>
      <x:c r="J100" s="27"/>
      <x:c r="K100" s="27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</x:row>
    <x:row r="101" ht="21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</x:row>
    <x:row r="102" ht="35" customHeight="1">
      <x:c r="A102" s="69" t="str">
        <x:v>比较（全部三题）</x:v>
      </x:c>
      <x:c r="B102" s="69" t="str">
        <x:v>总分增量</x:v>
      </x:c>
      <x:c r="C102" s="69" t="str">
        <x:v>均分增量</x:v>
      </x:c>
      <x:c r="D102" s="69" t="str">
        <x:v>美元增量</x:v>
      </x:c>
      <x:c r="E102" s="69" t="str">
        <x:v>成本变化率</x:v>
      </x:c>
      <x:c r="F102" s="69" t="str">
        <x:v>USD /分</x:v>
      </x:c>
      <x:c r="G102" s="69" t="str">
        <x:v>前者总成本</x:v>
      </x:c>
      <x:c r="H102" s="69" t="str">
        <x:v>后者总成本</x:v>
      </x:c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</x:row>
    <x:row r="103" ht="21" customHeight="1">
      <x:c r="A103" s="2" t="str">
        <x:v>Sol xhigh 相对 Luna max</x:v>
      </x:c>
      <x:c r="B103" s="12" t="n">
        <x:f>C22-C24</x:f>
        <x:v>21</x:v>
      </x:c>
      <x:c r="C103" s="23" t="n">
        <x:f>D22-D24</x:f>
        <x:v>7</x:v>
      </x:c>
      <x:c r="D103" s="20" t="n">
        <x:f>E22-E24</x:f>
        <x:v>5.720000000000001</x:v>
      </x:c>
      <x:c r="E103" s="38" t="n">
        <x:f>D103/E24</x:f>
        <x:v>12.327586206896553</x:v>
      </x:c>
      <x:c r="F103" s="20" t="n">
        <x:f>D103/B103</x:f>
        <x:v>0.2723809523809524</x:v>
      </x:c>
      <x:c r="G103" s="20" t="n">
        <x:f>E22</x:f>
        <x:v>6.184</x:v>
      </x:c>
      <x:c r="H103" s="20" t="n">
        <x:f>E24</x:f>
        <x:v>0.46399999999999997</x:v>
      </x:c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</x:row>
    <x:row r="104" ht="21" customHeight="1">
      <x:c r="A104" s="70" t="str">
        <x:v>Sol max 相对 Sol xhigh</x:v>
      </x:c>
      <x:c r="B104" s="71" t="n">
        <x:f>C20-C22</x:f>
        <x:v>47</x:v>
      </x:c>
      <x:c r="C104" s="76" t="n">
        <x:f>D20-D22</x:f>
        <x:v>15.666666666666657</x:v>
      </x:c>
      <x:c r="D104" s="74" t="n">
        <x:f>E20-E22</x:f>
        <x:v>2.0680000000000005</x:v>
      </x:c>
      <x:c r="E104" s="82" t="n">
        <x:f>D104/E22</x:f>
        <x:v>0.33441138421733513</x:v>
      </x:c>
      <x:c r="F104" s="74" t="n">
        <x:f>D104/B104</x:f>
        <x:v>0.04400000000000001</x:v>
      </x:c>
      <x:c r="G104" s="74" t="n">
        <x:f>E20</x:f>
        <x:v>8.252</x:v>
      </x:c>
      <x:c r="H104" s="74" t="n">
        <x:f>E22</x:f>
        <x:v>6.184</x:v>
      </x:c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</x:row>
    <x:row r="105" ht="21" customHeight="1">
      <x:c r="A105" s="15" t="str">
        <x:v>Astra high 相对 Sol max</x:v>
      </x:c>
      <x:c r="B105" s="16" t="n">
        <x:f>C19-C20</x:f>
        <x:v>4</x:v>
      </x:c>
      <x:c r="C105" s="25" t="n">
        <x:f>D19-D20</x:f>
        <x:v>1.3333333333333428</x:v>
      </x:c>
      <x:c r="D105" s="22" t="n">
        <x:f>E19-E20</x:f>
        <x:v>6.118</x:v>
      </x:c>
      <x:c r="E105" s="65" t="n">
        <x:f>D105/E20</x:f>
        <x:v>0.7413960252060107</x:v>
      </x:c>
      <x:c r="F105" s="22" t="n">
        <x:f>D105/B105</x:f>
        <x:v>1.5295</x:v>
      </x:c>
      <x:c r="G105" s="22" t="n">
        <x:f>E19</x:f>
        <x:v>14.370000000000001</x:v>
      </x:c>
      <x:c r="H105" s="22" t="n">
        <x:f>E20</x:f>
        <x:v>8.252</x:v>
      </x:c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</x:row>
    <x:row r="106" ht="21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</x:row>
    <x:row r="107" ht="21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</x:row>
    <x:row r="108" ht="24" customHeight="1">
      <x:c r="A108" s="27" t="str">
        <x:v>统计口径与数据来源</x:v>
      </x:c>
      <x:c r="B108" s="27"/>
      <x:c r="C108" s="27"/>
      <x:c r="D108" s="27"/>
      <x:c r="E108" s="27"/>
      <x:c r="F108" s="27"/>
      <x:c r="G108" s="27"/>
      <x:c r="H108" s="27"/>
      <x:c r="I108" s="27"/>
      <x:c r="J108" s="27"/>
      <x:c r="K108" s="27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</x:row>
    <x:row r="110" ht="21" customHeight="1">
      <x:c r="A110" s="4" t="str">
        <x:v>评分沿用原始及 Supplement 已完成评阅：定义 15、校准 30、验证 15、推进 30、结论校准 10。</x:v>
      </x:c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</x:row>
    <x:row r="111" ht="21" customHeight="1">
      <x:c r="A111" s="4" t="str">
        <x:v>身份与新增成本来自用户本轮映射；原有费用保留。三份 Opus 补充报告替换其对应回答，成本不重复计入。</x:v>
      </x:c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</x:row>
    <x:row r="112" ht="21" customHeight="1">
      <x:c r="A112" s="4" t="str">
        <x:v>每个配置均有三题，均分采用等权；模型排名、均分与合计成本由 Task 1–3 的单元格公式计算。</x:v>
      </x:c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</x:row>
    <x:row r="113" ht="21" customHeight="1">
      <x:c r="A113" s="4" t="str">
        <x:v>参考：评分明细.json、补充评分明细.json，以及两批 q1/q2/q3_assessment.md；报告保留逐题依据。</x:v>
      </x:c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</x:row>
    <x:row r="114" ht="21" customHeight="1">
      <x:c r="A114" s="4" t="str">
        <x:v>每个模型—题目仅一个样本。Opus 采用格式统一后的报告；这里比较最终提交版本，并非完全统一的首轮协议实验。</x:v>
      </x:c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</x:row>
    <x:row r="115" ht="21" customHeight="1">
      <x:c r="A115" s="4" t="str">
        <x:v>成本是用户记录的美元用量；无 token、FLOPs、耗时及重复运行数据，不能推断算力缩放律或总体胜率。</x:v>
      </x:c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</x:row>
    <x:row r="116" ht="21" customHeight="1">
      <x:c r="A116" s="4" t="str">
        <x:v>成本—得分前沿：不存在成本不高、得分不低且至少一项更优的另一配置；小分差应结合评阅范围理解。</x:v>
      </x:c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</x:row>
    <x:row r="117" ht="21" customHeight="1">
      <x:c r="A117" s="4" t="str">
        <x:v>图中横轴为 log10(USD)：−1=$0.1，0=$1，1=$10；原生图横坐标为本次成本快照，改动成本后需重绘。</x:v>
      </x:c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</x:row>
    <x:row r="118" ht="21" customHeight="1">
      <x:c r="A118" s="4" t="str">
        <x:v>误差棒与曲线的完整版本见随附 PNG/SVG；图上标注靠近数据点。前沿连线仅帮助阅读，不作连续性能拟合。</x:v>
      </x:c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</x:row>
    <x:row r="120" ht="21" customHeight="1">
      <x:c r="A120" s="2" t="str">
        <x:v>本表 24 项有效结果的记录成本 USD</x:v>
      </x:c>
      <x:c r="B120" s="2"/>
      <x:c r="C120" s="2"/>
      <x:c r="D120" s="2"/>
      <x:c r="E120" s="40" t="n">
        <x:f>SUM('Task 1'!C2:C9,'Task 2'!C2:C9,'Task 3'!C2:C9)</x:f>
        <x:v>116.842</x:v>
      </x:c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</x:row>
    <x:row r="122" ht="24" customHeight="1">
      <x:c r="A122" s="27" t="str">
        <x:v>逐份回答：五维评分、评阅范围与溯源</x:v>
      </x:c>
      <x:c r="B122" s="27"/>
      <x:c r="C122" s="27"/>
      <x:c r="D122" s="27"/>
      <x:c r="E122" s="27"/>
      <x:c r="F122" s="27"/>
      <x:c r="G122" s="27"/>
      <x:c r="H122" s="27"/>
      <x:c r="I122" s="27"/>
      <x:c r="J122" s="27"/>
      <x:c r="K122" s="27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</x:row>
    <x:row r="123" ht="21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</x:row>
    <x:row r="124" ht="35" customHeight="1">
      <x:c r="A124" s="69" t="str">
        <x:v>模型配置</x:v>
      </x:c>
      <x:c r="B124" s="69" t="str">
        <x:v>题目</x:v>
      </x:c>
      <x:c r="C124" s="69" t="str">
        <x:v>定义 /15</x:v>
      </x:c>
      <x:c r="D124" s="69" t="str">
        <x:v>校准 /30</x:v>
      </x:c>
      <x:c r="E124" s="69" t="str">
        <x:v>验证 /15</x:v>
      </x:c>
      <x:c r="F124" s="69" t="str">
        <x:v>推进 /30</x:v>
      </x:c>
      <x:c r="G124" s="69" t="str">
        <x:v>结论 /10</x:v>
      </x:c>
      <x:c r="H124" s="69" t="str">
        <x:v>总分 /100</x:v>
      </x:c>
      <x:c r="I124" s="69" t="str">
        <x:v>评阅下限</x:v>
      </x:c>
      <x:c r="J124" s="69" t="str">
        <x:v>评阅上限</x:v>
      </x:c>
      <x:c r="K124" s="69" t="str">
        <x:v>采用编号</x:v>
      </x:c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</x:row>
    <x:row r="125" ht="21" customHeight="1">
      <x:c r="A125" s="2" t="str">
        <x:v>GPT-5.6 Sol xhigh</x:v>
      </x:c>
      <x:c r="B125" s="12" t="n">
        <x:v>1</x:v>
      </x:c>
      <x:c r="C125" s="12" t="n">
        <x:v>13</x:v>
      </x:c>
      <x:c r="D125" s="12" t="n">
        <x:v>18</x:v>
      </x:c>
      <x:c r="E125" s="12" t="n">
        <x:v>7</x:v>
      </x:c>
      <x:c r="F125" s="12" t="n">
        <x:v>14</x:v>
      </x:c>
      <x:c r="G125" s="12" t="n">
        <x:v>5</x:v>
      </x:c>
      <x:c r="H125" s="12" t="n">
        <x:f>'Task 1'!D2</x:f>
        <x:v>57</x:v>
      </x:c>
      <x:c r="I125" s="12" t="n">
        <x:v>51</x:v>
      </x:c>
      <x:c r="J125" s="12" t="n">
        <x:v>63</x:v>
      </x:c>
      <x:c r="K125" s="12" t="str">
        <x:v>1a</x:v>
      </x:c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</x:row>
    <x:row r="126" ht="21" customHeight="1">
      <x:c r="A126" s="70" t="str">
        <x:v>GPT-6 Astra high</x:v>
      </x:c>
      <x:c r="B126" s="71" t="n">
        <x:v>1</x:v>
      </x:c>
      <x:c r="C126" s="71" t="n">
        <x:v>14</x:v>
      </x:c>
      <x:c r="D126" s="71" t="n">
        <x:v>28</x:v>
      </x:c>
      <x:c r="E126" s="71" t="n">
        <x:v>13</x:v>
      </x:c>
      <x:c r="F126" s="71" t="n">
        <x:v>28</x:v>
      </x:c>
      <x:c r="G126" s="71" t="n">
        <x:v>9</x:v>
      </x:c>
      <x:c r="H126" s="71" t="n">
        <x:f>'Task 1'!D3</x:f>
        <x:v>92</x:v>
      </x:c>
      <x:c r="I126" s="71" t="n">
        <x:v>88</x:v>
      </x:c>
      <x:c r="J126" s="71" t="n">
        <x:v>95</x:v>
      </x:c>
      <x:c r="K126" s="71" t="str">
        <x:v>1b</x:v>
      </x:c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</x:row>
    <x:row r="127" ht="21" customHeight="1">
      <x:c r="A127" s="2" t="str">
        <x:v>GPT-6 Sol xhigh</x:v>
      </x:c>
      <x:c r="B127" s="12" t="n">
        <x:v>1</x:v>
      </x:c>
      <x:c r="C127" s="12" t="n">
        <x:v>14</x:v>
      </x:c>
      <x:c r="D127" s="12" t="n">
        <x:v>20</x:v>
      </x:c>
      <x:c r="E127" s="12" t="n">
        <x:v>5</x:v>
      </x:c>
      <x:c r="F127" s="12" t="n">
        <x:v>9</x:v>
      </x:c>
      <x:c r="G127" s="12" t="n">
        <x:v>6</x:v>
      </x:c>
      <x:c r="H127" s="12" t="n">
        <x:f>'Task 1'!D4</x:f>
        <x:v>54</x:v>
      </x:c>
      <x:c r="I127" s="12" t="n">
        <x:v>48</x:v>
      </x:c>
      <x:c r="J127" s="12" t="n">
        <x:v>60</x:v>
      </x:c>
      <x:c r="K127" s="12" t="str">
        <x:v>1c</x:v>
      </x:c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</x:row>
    <x:row r="128" ht="21" customHeight="1">
      <x:c r="A128" s="70" t="str">
        <x:v>Grok 4.7 high</x:v>
      </x:c>
      <x:c r="B128" s="71" t="n">
        <x:v>1</x:v>
      </x:c>
      <x:c r="C128" s="71" t="n">
        <x:v>10</x:v>
      </x:c>
      <x:c r="D128" s="71" t="n">
        <x:v>11</x:v>
      </x:c>
      <x:c r="E128" s="71" t="n">
        <x:v>2</x:v>
      </x:c>
      <x:c r="F128" s="71" t="n">
        <x:v>2</x:v>
      </x:c>
      <x:c r="G128" s="71" t="n">
        <x:v>5</x:v>
      </x:c>
      <x:c r="H128" s="71" t="n">
        <x:f>'Task 1'!D5</x:f>
        <x:v>30</x:v>
      </x:c>
      <x:c r="I128" s="71" t="n">
        <x:v>24</x:v>
      </x:c>
      <x:c r="J128" s="71" t="n">
        <x:v>36</x:v>
      </x:c>
      <x:c r="K128" s="71" t="str">
        <x:v>1d</x:v>
      </x:c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</x:row>
    <x:row r="129" ht="21" customHeight="1">
      <x:c r="A129" s="2" t="str">
        <x:v>Opus 5.5 xhigh</x:v>
      </x:c>
      <x:c r="B129" s="12" t="n">
        <x:v>1</x:v>
      </x:c>
      <x:c r="C129" s="12" t="n">
        <x:v>13</x:v>
      </x:c>
      <x:c r="D129" s="12" t="n">
        <x:v>27</x:v>
      </x:c>
      <x:c r="E129" s="12" t="n">
        <x:v>12</x:v>
      </x:c>
      <x:c r="F129" s="12" t="n">
        <x:v>28</x:v>
      </x:c>
      <x:c r="G129" s="12" t="n">
        <x:v>7</x:v>
      </x:c>
      <x:c r="H129" s="12" t="n">
        <x:f>'Task 1'!D6</x:f>
        <x:v>87</x:v>
      </x:c>
      <x:c r="I129" s="12" t="n">
        <x:v>82</x:v>
      </x:c>
      <x:c r="J129" s="12" t="n">
        <x:v>92</x:v>
      </x:c>
      <x:c r="K129" s="12" t="str">
        <x:v>s_1a</x:v>
      </x:c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</x:row>
    <x:row r="130" ht="21" customHeight="1">
      <x:c r="A130" s="70" t="str">
        <x:v>GPT-6 Sol max</x:v>
      </x:c>
      <x:c r="B130" s="71" t="n">
        <x:v>1</x:v>
      </x:c>
      <x:c r="C130" s="71" t="n">
        <x:v>14</x:v>
      </x:c>
      <x:c r="D130" s="71" t="n">
        <x:v>29</x:v>
      </x:c>
      <x:c r="E130" s="71" t="n">
        <x:v>13</x:v>
      </x:c>
      <x:c r="F130" s="71" t="n">
        <x:v>28</x:v>
      </x:c>
      <x:c r="G130" s="71" t="n">
        <x:v>10</x:v>
      </x:c>
      <x:c r="H130" s="71" t="n">
        <x:f>'Task 1'!D7</x:f>
        <x:v>94</x:v>
      </x:c>
      <x:c r="I130" s="71" t="n">
        <x:v>90</x:v>
      </x:c>
      <x:c r="J130" s="71" t="n">
        <x:v>97</x:v>
      </x:c>
      <x:c r="K130" s="71" t="str">
        <x:v>s_1b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</x:row>
    <x:row r="131" ht="21" customHeight="1">
      <x:c r="A131" s="2" t="str">
        <x:v>GPT-6 Luna max</x:v>
      </x:c>
      <x:c r="B131" s="12" t="n">
        <x:v>1</x:v>
      </x:c>
      <x:c r="C131" s="12" t="n">
        <x:v>14</x:v>
      </x:c>
      <x:c r="D131" s="12" t="n">
        <x:v>20</x:v>
      </x:c>
      <x:c r="E131" s="12" t="n">
        <x:v>5</x:v>
      </x:c>
      <x:c r="F131" s="12" t="n">
        <x:v>8</x:v>
      </x:c>
      <x:c r="G131" s="12" t="n">
        <x:v>6</x:v>
      </x:c>
      <x:c r="H131" s="12" t="n">
        <x:f>'Task 1'!D8</x:f>
        <x:v>53</x:v>
      </x:c>
      <x:c r="I131" s="12" t="n">
        <x:v>47</x:v>
      </x:c>
      <x:c r="J131" s="12" t="n">
        <x:v>60</x:v>
      </x:c>
      <x:c r="K131" s="12" t="str">
        <x:v>s_1c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</x:row>
    <x:row r="132" ht="21" customHeight="1">
      <x:c r="A132" s="70" t="str">
        <x:v>DeepSeek V4.1 Flash max</x:v>
      </x:c>
      <x:c r="B132" s="71" t="n">
        <x:v>1</x:v>
      </x:c>
      <x:c r="C132" s="71" t="n">
        <x:v>13</x:v>
      </x:c>
      <x:c r="D132" s="71" t="n">
        <x:v>20</x:v>
      </x:c>
      <x:c r="E132" s="71" t="n">
        <x:v>4</x:v>
      </x:c>
      <x:c r="F132" s="71" t="n">
        <x:v>7</x:v>
      </x:c>
      <x:c r="G132" s="71" t="n">
        <x:v>3</x:v>
      </x:c>
      <x:c r="H132" s="71" t="n">
        <x:f>'Task 1'!D9</x:f>
        <x:v>47</x:v>
      </x:c>
      <x:c r="I132" s="71" t="n">
        <x:v>41</x:v>
      </x:c>
      <x:c r="J132" s="71" t="n">
        <x:v>55</x:v>
      </x:c>
      <x:c r="K132" s="71" t="str">
        <x:v>s_1d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</x:row>
    <x:row r="133" ht="21" customHeight="1">
      <x:c r="A133" s="2" t="str">
        <x:v>GPT-5.6 Sol xhigh</x:v>
      </x:c>
      <x:c r="B133" s="12" t="n">
        <x:v>2</x:v>
      </x:c>
      <x:c r="C133" s="12" t="n">
        <x:v>15</x:v>
      </x:c>
      <x:c r="D133" s="12" t="n">
        <x:v>30</x:v>
      </x:c>
      <x:c r="E133" s="12" t="n">
        <x:v>12</x:v>
      </x:c>
      <x:c r="F133" s="12" t="n">
        <x:v>21</x:v>
      </x:c>
      <x:c r="G133" s="12" t="n">
        <x:v>9</x:v>
      </x:c>
      <x:c r="H133" s="12" t="n">
        <x:f>'Task 2'!D2</x:f>
        <x:v>87</x:v>
      </x:c>
      <x:c r="I133" s="12" t="n">
        <x:v>84</x:v>
      </x:c>
      <x:c r="J133" s="12" t="n">
        <x:v>90</x:v>
      </x:c>
      <x:c r="K133" s="12" t="str">
        <x:v>2a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</x:row>
    <x:row r="134" ht="21" customHeight="1">
      <x:c r="A134" s="70" t="str">
        <x:v>GPT-6 Luna max</x:v>
      </x:c>
      <x:c r="B134" s="71" t="n">
        <x:v>2</x:v>
      </x:c>
      <x:c r="C134" s="71" t="n">
        <x:v>15</x:v>
      </x:c>
      <x:c r="D134" s="71" t="n">
        <x:v>30</x:v>
      </x:c>
      <x:c r="E134" s="71" t="n">
        <x:v>13</x:v>
      </x:c>
      <x:c r="F134" s="71" t="n">
        <x:v>18</x:v>
      </x:c>
      <x:c r="G134" s="71" t="n">
        <x:v>10</x:v>
      </x:c>
      <x:c r="H134" s="71" t="n">
        <x:f>'Task 2'!D3</x:f>
        <x:v>86</x:v>
      </x:c>
      <x:c r="I134" s="71" t="n">
        <x:v>82</x:v>
      </x:c>
      <x:c r="J134" s="71" t="n">
        <x:v>89</x:v>
      </x:c>
      <x:c r="K134" s="71" t="str">
        <x:v>2b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</x:row>
    <x:row r="135" ht="21" customHeight="1">
      <x:c r="A135" s="2" t="str">
        <x:v>GPT-6 Sol max</x:v>
      </x:c>
      <x:c r="B135" s="12" t="n">
        <x:v>2</x:v>
      </x:c>
      <x:c r="C135" s="12" t="n">
        <x:v>15</x:v>
      </x:c>
      <x:c r="D135" s="12" t="n">
        <x:v>30</x:v>
      </x:c>
      <x:c r="E135" s="12" t="n">
        <x:v>14</x:v>
      </x:c>
      <x:c r="F135" s="12" t="n">
        <x:v>25</x:v>
      </x:c>
      <x:c r="G135" s="12" t="n">
        <x:v>10</x:v>
      </x:c>
      <x:c r="H135" s="12" t="n">
        <x:f>'Task 2'!D4</x:f>
        <x:v>94</x:v>
      </x:c>
      <x:c r="I135" s="12" t="n">
        <x:v>91</x:v>
      </x:c>
      <x:c r="J135" s="12" t="n">
        <x:v>97</x:v>
      </x:c>
      <x:c r="K135" s="12" t="str">
        <x:v>2c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</x:row>
    <x:row r="136" ht="21" customHeight="1">
      <x:c r="A136" s="70" t="str">
        <x:v>GPT-6 Sol xhigh</x:v>
      </x:c>
      <x:c r="B136" s="71" t="n">
        <x:v>2</x:v>
      </x:c>
      <x:c r="C136" s="71" t="n">
        <x:v>15</x:v>
      </x:c>
      <x:c r="D136" s="71" t="n">
        <x:v>30</x:v>
      </x:c>
      <x:c r="E136" s="71" t="n">
        <x:v>13</x:v>
      </x:c>
      <x:c r="F136" s="71" t="n">
        <x:v>24</x:v>
      </x:c>
      <x:c r="G136" s="71" t="n">
        <x:v>10</x:v>
      </x:c>
      <x:c r="H136" s="71" t="n">
        <x:f>'Task 2'!D5</x:f>
        <x:v>92</x:v>
      </x:c>
      <x:c r="I136" s="71" t="n">
        <x:v>89</x:v>
      </x:c>
      <x:c r="J136" s="71" t="n">
        <x:v>95</x:v>
      </x:c>
      <x:c r="K136" s="71" t="str">
        <x:v>2d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</x:row>
    <x:row r="137" ht="21" customHeight="1">
      <x:c r="A137" s="2" t="str">
        <x:v>GPT-6 Astra high</x:v>
      </x:c>
      <x:c r="B137" s="12" t="n">
        <x:v>2</x:v>
      </x:c>
      <x:c r="C137" s="12" t="n">
        <x:v>15</x:v>
      </x:c>
      <x:c r="D137" s="12" t="n">
        <x:v>30</x:v>
      </x:c>
      <x:c r="E137" s="12" t="n">
        <x:v>14</x:v>
      </x:c>
      <x:c r="F137" s="12" t="n">
        <x:v>28</x:v>
      </x:c>
      <x:c r="G137" s="12" t="n">
        <x:v>10</x:v>
      </x:c>
      <x:c r="H137" s="12" t="n">
        <x:f>'Task 2'!D6</x:f>
        <x:v>97</x:v>
      </x:c>
      <x:c r="I137" s="12" t="n">
        <x:v>94</x:v>
      </x:c>
      <x:c r="J137" s="12" t="n">
        <x:v>99</x:v>
      </x:c>
      <x:c r="K137" s="12" t="str">
        <x:v>2e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</x:row>
    <x:row r="138" ht="21" customHeight="1">
      <x:c r="A138" s="70" t="str">
        <x:v>Grok 4.7 high</x:v>
      </x:c>
      <x:c r="B138" s="71" t="n">
        <x:v>2</x:v>
      </x:c>
      <x:c r="C138" s="71" t="n">
        <x:v>13</x:v>
      </x:c>
      <x:c r="D138" s="71" t="n">
        <x:v>25</x:v>
      </x:c>
      <x:c r="E138" s="71" t="n">
        <x:v>11</x:v>
      </x:c>
      <x:c r="F138" s="71" t="n">
        <x:v>15</x:v>
      </x:c>
      <x:c r="G138" s="71" t="n">
        <x:v>5</x:v>
      </x:c>
      <x:c r="H138" s="71" t="n">
        <x:f>'Task 2'!D7</x:f>
        <x:v>69</x:v>
      </x:c>
      <x:c r="I138" s="71" t="n">
        <x:v>65</x:v>
      </x:c>
      <x:c r="J138" s="71" t="n">
        <x:v>75</x:v>
      </x:c>
      <x:c r="K138" s="71" t="str">
        <x:v>2f</x:v>
      </x:c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</x:row>
    <x:row r="139" ht="21" customHeight="1">
      <x:c r="A139" s="2" t="str">
        <x:v>Opus 5.5 xhigh</x:v>
      </x:c>
      <x:c r="B139" s="12" t="n">
        <x:v>2</x:v>
      </x:c>
      <x:c r="C139" s="12" t="n">
        <x:v>15</x:v>
      </x:c>
      <x:c r="D139" s="12" t="n">
        <x:v>30</x:v>
      </x:c>
      <x:c r="E139" s="12" t="n">
        <x:v>13</x:v>
      </x:c>
      <x:c r="F139" s="12" t="n">
        <x:v>28</x:v>
      </x:c>
      <x:c r="G139" s="12" t="n">
        <x:v>7</x:v>
      </x:c>
      <x:c r="H139" s="12" t="n">
        <x:f>'Task 2'!D8</x:f>
        <x:v>93</x:v>
      </x:c>
      <x:c r="I139" s="12" t="n">
        <x:v>88</x:v>
      </x:c>
      <x:c r="J139" s="12" t="n">
        <x:v>97</x:v>
      </x:c>
      <x:c r="K139" s="12" t="str">
        <x:v>s_2a</x:v>
      </x:c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</x:row>
    <x:row r="140" ht="21" customHeight="1">
      <x:c r="A140" s="70" t="str">
        <x:v>DeepSeek V4.1 Flash max</x:v>
      </x:c>
      <x:c r="B140" s="71" t="n">
        <x:v>2</x:v>
      </x:c>
      <x:c r="C140" s="71" t="n">
        <x:v>14</x:v>
      </x:c>
      <x:c r="D140" s="71" t="n">
        <x:v>27</x:v>
      </x:c>
      <x:c r="E140" s="71" t="n">
        <x:v>11</x:v>
      </x:c>
      <x:c r="F140" s="71" t="n">
        <x:v>17</x:v>
      </x:c>
      <x:c r="G140" s="71" t="n">
        <x:v>6</x:v>
      </x:c>
      <x:c r="H140" s="71" t="n">
        <x:f>'Task 2'!D9</x:f>
        <x:v>75</x:v>
      </x:c>
      <x:c r="I140" s="71" t="n">
        <x:v>70</x:v>
      </x:c>
      <x:c r="J140" s="71" t="n">
        <x:v>81</x:v>
      </x:c>
      <x:c r="K140" s="71" t="str">
        <x:v>s_2b</x:v>
      </x:c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</x:row>
    <x:row r="141" ht="21" customHeight="1">
      <x:c r="A141" s="2" t="str">
        <x:v>GPT-5.6 Sol xhigh</x:v>
      </x:c>
      <x:c r="B141" s="12" t="n">
        <x:v>3</x:v>
      </x:c>
      <x:c r="C141" s="12" t="n">
        <x:v>14</x:v>
      </x:c>
      <x:c r="D141" s="12" t="n">
        <x:v>27</x:v>
      </x:c>
      <x:c r="E141" s="12" t="n">
        <x:v>12</x:v>
      </x:c>
      <x:c r="F141" s="12" t="n">
        <x:v>20</x:v>
      </x:c>
      <x:c r="G141" s="12" t="n">
        <x:v>9</x:v>
      </x:c>
      <x:c r="H141" s="12" t="n">
        <x:f>'Task 3'!D2</x:f>
        <x:v>82</x:v>
      </x:c>
      <x:c r="I141" s="12" t="n">
        <x:v>78</x:v>
      </x:c>
      <x:c r="J141" s="12" t="n">
        <x:v>86</x:v>
      </x:c>
      <x:c r="K141" s="12" t="str">
        <x:v>3a</x:v>
      </x:c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</x:row>
    <x:row r="142" ht="21" customHeight="1">
      <x:c r="A142" s="70" t="str">
        <x:v>GPT-6 Luna max</x:v>
      </x:c>
      <x:c r="B142" s="71" t="n">
        <x:v>3</x:v>
      </x:c>
      <x:c r="C142" s="71" t="n">
        <x:v>15</x:v>
      </x:c>
      <x:c r="D142" s="71" t="n">
        <x:v>25</x:v>
      </x:c>
      <x:c r="E142" s="71" t="n">
        <x:v>9</x:v>
      </x:c>
      <x:c r="F142" s="71" t="n">
        <x:v>18</x:v>
      </x:c>
      <x:c r="G142" s="71" t="n">
        <x:v>9</x:v>
      </x:c>
      <x:c r="H142" s="71" t="n">
        <x:f>'Task 3'!D3</x:f>
        <x:v>76</x:v>
      </x:c>
      <x:c r="I142" s="71" t="n">
        <x:v>72</x:v>
      </x:c>
      <x:c r="J142" s="71" t="n">
        <x:v>81</x:v>
      </x:c>
      <x:c r="K142" s="71" t="str">
        <x:v>3b</x:v>
      </x:c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</x:row>
    <x:row r="143" ht="21" customHeight="1">
      <x:c r="A143" s="2" t="str">
        <x:v>GPT-6 Sol max</x:v>
      </x:c>
      <x:c r="B143" s="12" t="n">
        <x:v>3</x:v>
      </x:c>
      <x:c r="C143" s="12" t="n">
        <x:v>15</x:v>
      </x:c>
      <x:c r="D143" s="12" t="n">
        <x:v>29</x:v>
      </x:c>
      <x:c r="E143" s="12" t="n">
        <x:v>12</x:v>
      </x:c>
      <x:c r="F143" s="12" t="n">
        <x:v>29</x:v>
      </x:c>
      <x:c r="G143" s="12" t="n">
        <x:v>10</x:v>
      </x:c>
      <x:c r="H143" s="12" t="n">
        <x:f>'Task 3'!D4</x:f>
        <x:v>95</x:v>
      </x:c>
      <x:c r="I143" s="12" t="n">
        <x:v>91</x:v>
      </x:c>
      <x:c r="J143" s="12" t="n">
        <x:v>98</x:v>
      </x:c>
      <x:c r="K143" s="12" t="str">
        <x:v>3c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</x:row>
    <x:row r="144" ht="21" customHeight="1">
      <x:c r="A144" s="70" t="str">
        <x:v>GPT-6 Sol xhigh</x:v>
      </x:c>
      <x:c r="B144" s="71" t="n">
        <x:v>3</x:v>
      </x:c>
      <x:c r="C144" s="71" t="n">
        <x:v>15</x:v>
      </x:c>
      <x:c r="D144" s="71" t="n">
        <x:v>29</x:v>
      </x:c>
      <x:c r="E144" s="71" t="n">
        <x:v>12</x:v>
      </x:c>
      <x:c r="F144" s="71" t="n">
        <x:v>24</x:v>
      </x:c>
      <x:c r="G144" s="71" t="n">
        <x:v>10</x:v>
      </x:c>
      <x:c r="H144" s="71" t="n">
        <x:f>'Task 3'!D5</x:f>
        <x:v>90</x:v>
      </x:c>
      <x:c r="I144" s="71" t="n">
        <x:v>86</x:v>
      </x:c>
      <x:c r="J144" s="71" t="n">
        <x:v>94</x:v>
      </x:c>
      <x:c r="K144" s="71" t="str">
        <x:v>3d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</x:row>
    <x:row r="145" ht="21" customHeight="1">
      <x:c r="A145" s="2" t="str">
        <x:v>GPT-6 Astra high</x:v>
      </x:c>
      <x:c r="B145" s="12" t="n">
        <x:v>3</x:v>
      </x:c>
      <x:c r="C145" s="12" t="n">
        <x:v>15</x:v>
      </x:c>
      <x:c r="D145" s="12" t="n">
        <x:v>30</x:v>
      </x:c>
      <x:c r="E145" s="12" t="n">
        <x:v>14</x:v>
      </x:c>
      <x:c r="F145" s="12" t="n">
        <x:v>29</x:v>
      </x:c>
      <x:c r="G145" s="12" t="n">
        <x:v>10</x:v>
      </x:c>
      <x:c r="H145" s="12" t="n">
        <x:f>'Task 3'!D6</x:f>
        <x:v>98</x:v>
      </x:c>
      <x:c r="I145" s="12" t="n">
        <x:v>94</x:v>
      </x:c>
      <x:c r="J145" s="12" t="n">
        <x:v>99</x:v>
      </x:c>
      <x:c r="K145" s="12" t="str">
        <x:v>3e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</x:row>
    <x:row r="146" ht="21" customHeight="1">
      <x:c r="A146" s="70" t="str">
        <x:v>Grok 4.7 high</x:v>
      </x:c>
      <x:c r="B146" s="71" t="n">
        <x:v>3</x:v>
      </x:c>
      <x:c r="C146" s="71" t="n">
        <x:v>13</x:v>
      </x:c>
      <x:c r="D146" s="71" t="n">
        <x:v>23</x:v>
      </x:c>
      <x:c r="E146" s="71" t="n">
        <x:v>12</x:v>
      </x:c>
      <x:c r="F146" s="71" t="n">
        <x:v>15</x:v>
      </x:c>
      <x:c r="G146" s="71" t="n">
        <x:v>7</x:v>
      </x:c>
      <x:c r="H146" s="71" t="n">
        <x:f>'Task 3'!D7</x:f>
        <x:v>70</x:v>
      </x:c>
      <x:c r="I146" s="71" t="n">
        <x:v>65</x:v>
      </x:c>
      <x:c r="J146" s="71" t="n">
        <x:v>75</x:v>
      </x:c>
      <x:c r="K146" s="71" t="str">
        <x:v>3f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</x:row>
    <x:row r="147" ht="21" customHeight="1">
      <x:c r="A147" s="2" t="str">
        <x:v>Opus 5.5 xhigh</x:v>
      </x:c>
      <x:c r="B147" s="12" t="n">
        <x:v>3</x:v>
      </x:c>
      <x:c r="C147" s="12" t="n">
        <x:v>13</x:v>
      </x:c>
      <x:c r="D147" s="12" t="n">
        <x:v>28</x:v>
      </x:c>
      <x:c r="E147" s="12" t="n">
        <x:v>14</x:v>
      </x:c>
      <x:c r="F147" s="12" t="n">
        <x:v>21</x:v>
      </x:c>
      <x:c r="G147" s="12" t="n">
        <x:v>5</x:v>
      </x:c>
      <x:c r="H147" s="12" t="n">
        <x:f>'Task 3'!D8</x:f>
        <x:v>81</x:v>
      </x:c>
      <x:c r="I147" s="12" t="n">
        <x:v>76</x:v>
      </x:c>
      <x:c r="J147" s="12" t="n">
        <x:v>86</x:v>
      </x:c>
      <x:c r="K147" s="12" t="str">
        <x:v>s_3a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</x:row>
    <x:row r="148" ht="21" customHeight="1">
      <x:c r="A148" s="72" t="str">
        <x:v>DeepSeek V4.1 Flash max</x:v>
      </x:c>
      <x:c r="B148" s="73" t="n">
        <x:v>3</x:v>
      </x:c>
      <x:c r="C148" s="73" t="n">
        <x:v>10</x:v>
      </x:c>
      <x:c r="D148" s="73" t="n">
        <x:v>21</x:v>
      </x:c>
      <x:c r="E148" s="73" t="n">
        <x:v>9</x:v>
      </x:c>
      <x:c r="F148" s="73" t="n">
        <x:v>11</x:v>
      </x:c>
      <x:c r="G148" s="73" t="n">
        <x:v>3</x:v>
      </x:c>
      <x:c r="H148" s="73" t="n">
        <x:f>'Task 3'!D9</x:f>
        <x:v>54</x:v>
      </x:c>
      <x:c r="I148" s="73" t="n">
        <x:v>49</x:v>
      </x:c>
      <x:c r="J148" s="73" t="n">
        <x:v>60</x:v>
      </x:c>
      <x:c r="K148" s="73" t="str">
        <x:v>s_3b</x:v>
      </x:c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</x:row>
    <x:row r="150" ht="21" customHeight="1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</x:row>
    <x:row r="151" ht="24" customHeight="1">
      <x:c r="A151" s="27" t="str">
        <x:v>本次完整样本的模型评价</x:v>
      </x:c>
      <x:c r="B151" s="27"/>
      <x:c r="C151" s="27"/>
      <x:c r="D151" s="27"/>
      <x:c r="E151" s="27"/>
      <x:c r="F151" s="27"/>
      <x:c r="G151" s="27"/>
      <x:c r="H151" s="27"/>
      <x:c r="I151" s="27"/>
      <x:c r="J151" s="27"/>
      <x:c r="K151" s="27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</x:row>
    <x:row r="152" ht="21" customHeight="1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</x:row>
    <x:row r="153" ht="21" customHeight="1">
      <x:c r="A153" s="4" t="str">
        <x:v>GPT-6 Astra high：总分 287、均分 95.67；三题均强，临界窗反向界与全时间统一稳定性界最突出。</x:v>
      </x:c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</x:row>
    <x:row r="154" ht="21" customHeight="1">
      <x:c r="A154" s="4" t="str">
        <x:v>GPT-6 Sol max：总分 283、均分 94.33；题 1 最高，三题均 ≥94，成本比 Astra 低 42.6%。</x:v>
      </x:c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</x:row>
    <x:row r="155" ht="21" customHeight="1">
      <x:c r="A155" s="4" t="str">
        <x:v>Opus 5.5 xhigh：总分 261、均分 87.00；有价值的解析归约，部分一般化与最优指数主张缺少充分证明。</x:v>
      </x:c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</x:row>
    <x:row r="156" ht="21" customHeight="1">
      <x:c r="A156" s="4" t="str">
        <x:v>GPT-6 Sol xhigh：总分 236、均分 78.67；题 2/3 较强，题 1 的关键输入错号进入不可解性证书。</x:v>
      </x:c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</x:row>
    <x:row r="157" ht="21" customHeight="1">
      <x:c r="A157" s="4" t="str">
        <x:v>GPT-5.6 Sol xhigh：总分 226、均分 75.33；基础计算与归约有价值，题 1 目标错配和题 3 低频缺口明显。</x:v>
      </x:c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</x:row>
    <x:row r="158" ht="21" customHeight="1">
      <x:c r="A158" s="4" t="str">
        <x:v>GPT-6 Luna max：总分 215、均分 71.67，三题合计 $0.464；低成本优势明显，题 1 核心证书失效。</x:v>
      </x:c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</x:row>
    <x:row r="159" ht="21" customHeight="1">
      <x:c r="A159" s="4" t="str">
        <x:v>DeepSeek V4.1 Flash max：总分 176、均分 58.67；部分结构正确，关键输入、推论与统一性验证不足。</x:v>
      </x:c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</x:row>
    <x:row r="160" ht="21" customHeight="1">
      <x:c r="A160" s="4" t="str">
        <x:v>Grok 4.7 high：总分 169、均分 56.33；有局部正确结果，树级相位和恢复基线等校准错误限制结论。</x:v>
      </x:c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</x:row>
    <x:row r="161" ht="21" customHeight="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</x:row>
    <x:row r="162" ht="21" customHeight="1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</x:row>
    <x:row r="163" ht="21" customHeight="1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</x:row>
    <x:row r="164" ht="21" customHeight="1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</x:row>
    <x:row r="167" ht="21" customHeight="1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</x:row>
    <x:row r="168" ht="21" customHeight="1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</x:row>
    <x:row r="169" ht="21" customHeight="1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</x:row>
    <x:row r="170" ht="21" customHeight="1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</x:row>
  </x:sheetData>
  <x:conditionalFormatting sqref="G19:G25">
    <x:cfRule type="containsText" dxfId="0" priority="1" operator="containsText" text="前沿"/>
  </x:conditionalFormatting>
  <x:conditionalFormatting sqref="G30:G34">
    <x:cfRule type="containsText" dxfId="1" priority="2" operator="containsText" text="前沿"/>
  </x:conditionalFormatting>
  <x:conditionalFormatting sqref="I19:I26">
    <x:cfRule type="containsText" dxfId="2" priority="3" operator="containsText" text="前沿"/>
    <x:cfRule type="containsText" dxfId="3" priority="4" operator="containsText" text="前沿"/>
  </x:conditionalFormatting>
  <x:pageMargins left="0.7" right="0.7" top="0.75" bottom="0.75" header="0.3" footer="0.3"/>
  <x:drawing xmlns:r="http://schemas.openxmlformats.org/officeDocument/2006/relationships" r:id="R4a21b6f095044f5d"/>
</x:worksheet>
</file>