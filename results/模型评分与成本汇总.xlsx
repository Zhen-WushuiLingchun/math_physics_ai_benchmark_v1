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594f83402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" sheetId="1" r:id="R19d59aa9b7924f4d"/>
    <x:sheet xmlns:r="http://schemas.openxmlformats.org/officeDocument/2006/relationships" name="Task 2" sheetId="2" r:id="R17b7bf357d3c4af6"/>
    <x:sheet xmlns:r="http://schemas.openxmlformats.org/officeDocument/2006/relationships" name="Task 3" sheetId="3" r:id="R59e281f42be2427f"/>
    <x:sheet xmlns:r="http://schemas.openxmlformats.org/officeDocument/2006/relationships" name="综合汇总" sheetId="4" r:id="R1c705ce9ca5b443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<x:sst xmlns:x="http://schemas.openxmlformats.org/spreadsheetml/2006/main">
  <x:si>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</x:si>
  <x:si>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Model</x:t>
  </x:si>
  <x:si>
    <x:t xml:space="preserve">Usage/dollar</x:t>
  </x:si>
  <x:si>
    <x:t xml:space="preserve">Score</x:t>
  </x:si>
</x:sst>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"/>
    <x:numFmt numFmtId="203" formatCode="0.0"/>
    <x:numFmt numFmtId="204" formatCode="0.0%"/>
  </x:numFmts>
  <x:fonts count="9">
    <x:font>
      <x:sz val="11"/>
      <x:color theme="1"/>
      <x:name val="等线"/>
    </x:font>
    <x:font>
      <x:sz val="9"/>
      <x:name val="等线"/>
    </x:font>
    <x:font>
      <x:sz val="10"/>
      <x:color rgb="FF242126"/>
      <x:name val="Arial"/>
    </x:font>
    <x:font>
      <x:b/>
      <x:sz val="17"/>
      <x:color rgb="FF242126"/>
      <x:name val="Arial"/>
    </x:font>
    <x:font>
      <x:sz val="10"/>
      <x:color rgb="FF66616B"/>
      <x:name val="Arial"/>
    </x:font>
    <x:font>
      <x:b/>
      <x:sz val="10"/>
      <x:color rgb="FFFFFFFF"/>
      <x:name val="Arial"/>
    </x:font>
    <x:font>
      <x:b/>
      <x:sz val="12"/>
      <x:color rgb="FF7E0C6E"/>
      <x:name val="Arial"/>
    </x:font>
    <x:font>
      <x:b/>
      <x:sz val="12"/>
      <x:color rgb="FF7E0C6E"/>
      <x:name val="等线"/>
    </x:font>
    <x:font>
      <x:sz val="11"/>
      <x:color theme="1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7E0C6E"/>
      </x:patternFill>
    </x:fill>
    <x:fill>
      <x:patternFill patternType="solid">
        <x:fgColor rgb="FFF4EFF4"/>
      </x:patternFill>
    </x:fill>
    <x:fill>
      <x:patternFill patternType="solid">
        <x:fgColor rgb="FF7E0C6E"/>
      </x:patternFill>
    </x:fill>
    <x:fill>
      <x:patternFill patternType="solid">
        <x:fgColor rgb="FFF4EFF4"/>
      </x:patternFill>
    </x:fill>
    <x:fill>
      <x:patternFill patternType="solid">
        <x:fgColor rgb="FF7E0C6E"/>
      </x:patternFill>
    </x:fill>
    <x:fill>
      <x:patternFill patternType="solid">
        <x:fgColor rgb="FFF4EFF4"/>
      </x:patternFill>
    </x:fill>
    <x:fill>
      <x:patternFill patternType="solid">
        <x:fgColor rgb="FF7E0C6E"/>
      </x:patternFill>
    </x:fill>
    <x:fill>
      <x:patternFill patternType="solid">
        <x:fgColor rgb="FFF4EFF4"/>
      </x:patternFill>
    </x:fill>
    <x:fill>
      <x:patternFill patternType="solid">
        <x:fgColor rgb="FF7E0C6E"/>
      </x:patternFill>
    </x:fill>
    <x:fill>
      <x:patternFill patternType="solid">
        <x:fgColor rgb="FFF4EFF4"/>
      </x:patternFill>
    </x:fill>
    <x:fill>
      <x:patternFill patternType="solid">
        <x:fgColor rgb="FF7E0C6E"/>
      </x:patternFill>
    </x:fill>
    <x:fill>
      <x:patternFill patternType="solid">
        <x:fgColor rgb="FFF4EFF4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8BAC9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3" borderId="0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right" vertical="center"/>
    </x:xf>
    <x:xf numFmtId="203" fontId="2" fillId="3" borderId="0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right" vertical="center"/>
    </x:xf>
    <x:xf numFmtId="203" fontId="2" fillId="3" borderId="4" xfId="0" applyNumberFormat="1" applyFont="1" applyFill="1" applyBorder="1" applyAlignment="1">
      <x:alignment horizontal="right" vertical="center"/>
    </x:xf>
    <x:xf numFmtId="201" fontId="2" fillId="3" borderId="4" xfId="0" applyNumberFormat="1" applyFont="1" applyFill="1" applyBorder="1" applyAlignment="1">
      <x:alignment horizontal="right" vertical="center"/>
    </x:xf>
    <x:xf numFmtId="204" fontId="2" fillId="0" borderId="0" xfId="0" applyNumberFormat="1" applyFont="1" applyFill="1" applyBorder="1" applyAlignment="1">
      <x:alignment horizontal="right" vertical="center"/>
    </x:xf>
    <x:xf numFmtId="204" fontId="2" fillId="3" borderId="4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4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right" vertical="center"/>
    </x:xf>
    <x:xf numFmtId="0" fontId="2" fillId="5" borderId="4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horizontal="right" vertical="center"/>
    </x:xf>
    <x:xf numFmtId="201" fontId="2" fillId="5" borderId="0" xfId="0" applyNumberFormat="1" applyFont="1" applyFill="1" applyBorder="1" applyAlignment="1">
      <x:alignment horizontal="right" vertical="center"/>
    </x:xf>
    <x:xf numFmtId="201" fontId="2" fillId="5" borderId="4" xfId="0" applyNumberFormat="1" applyFont="1" applyFill="1" applyBorder="1" applyAlignment="1">
      <x:alignment horizontal="right" vertical="center"/>
    </x:xf>
    <x:xf numFmtId="202" fontId="2" fillId="5" borderId="0" xfId="0" applyNumberFormat="1" applyFont="1" applyFill="1" applyBorder="1" applyAlignment="1">
      <x:alignment horizontal="right" vertical="center"/>
    </x:xf>
    <x:xf numFmtId="202" fontId="2" fillId="5" borderId="4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5" borderId="0" xfId="0" applyNumberFormat="1" applyFont="1" applyFill="1" applyBorder="1" applyAlignment="1">
      <x:alignment horizontal="right" vertical="center" wrapText="1"/>
    </x:xf>
    <x:xf numFmtId="0" fontId="2" fillId="5" borderId="4" xfId="0" applyNumberFormat="1" applyFont="1" applyFill="1" applyBorder="1" applyAlignment="1">
      <x:alignment horizontal="right" vertical="center" wrapText="1"/>
    </x:xf>
    <x:xf numFmtId="204" fontId="2" fillId="5" borderId="0" xfId="0" applyNumberFormat="1" applyFont="1" applyFill="1" applyBorder="1" applyAlignment="1">
      <x:alignment horizontal="right" vertical="center"/>
    </x:xf>
    <x:xf numFmtId="204" fontId="2" fillId="0" borderId="4" xfId="0" applyNumberFormat="1" applyFont="1" applyFill="1" applyBorder="1" applyAlignment="1">
      <x:alignment horizontal="right" vertical="center"/>
    </x:xf>
    <x:xf numFmtId="0" fontId="2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horizontal="right" vertical="center"/>
    </x:xf>
    <x:xf numFmtId="0" fontId="2" fillId="7" borderId="4" xfId="0" applyNumberFormat="1" applyFont="1" applyFill="1" applyBorder="1" applyAlignment="1">
      <x:alignment vertical="center"/>
    </x:xf>
    <x:xf numFmtId="0" fontId="2" fillId="7" borderId="4" xfId="0" applyNumberFormat="1" applyFont="1" applyFill="1" applyBorder="1" applyAlignment="1">
      <x:alignment horizontal="right" vertical="center"/>
    </x:xf>
    <x:xf numFmtId="201" fontId="2" fillId="7" borderId="0" xfId="0" applyNumberFormat="1" applyFont="1" applyFill="1" applyBorder="1" applyAlignment="1">
      <x:alignment horizontal="right" vertical="center"/>
    </x:xf>
    <x:xf numFmtId="201" fontId="2" fillId="7" borderId="4" xfId="0" applyNumberFormat="1" applyFont="1" applyFill="1" applyBorder="1" applyAlignment="1">
      <x:alignment horizontal="right" vertical="center"/>
    </x:xf>
    <x:xf numFmtId="202" fontId="2" fillId="7" borderId="0" xfId="0" applyNumberFormat="1" applyFont="1" applyFill="1" applyBorder="1" applyAlignment="1">
      <x:alignment horizontal="right" vertical="center"/>
    </x:xf>
    <x:xf numFmtId="202" fontId="2" fillId="7" borderId="4" xfId="0" applyNumberFormat="1" applyFont="1" applyFill="1" applyBorder="1" applyAlignment="1">
      <x:alignment horizontal="right"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right" vertical="center" wrapText="1"/>
    </x:xf>
    <x:xf numFmtId="0" fontId="2" fillId="7" borderId="4" xfId="0" applyNumberFormat="1" applyFont="1" applyFill="1" applyBorder="1" applyAlignment="1">
      <x:alignment horizontal="right" vertical="center" wrapText="1"/>
    </x:xf>
    <x:xf numFmtId="204" fontId="2" fillId="7" borderId="0" xfId="0" applyNumberFormat="1" applyFont="1" applyFill="1" applyBorder="1" applyAlignment="1">
      <x:alignment horizontal="right" vertical="center"/>
    </x:xf>
    <x:xf numFmtId="0" fontId="2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horizontal="right" vertical="center"/>
    </x:xf>
    <x:xf numFmtId="0" fontId="2" fillId="9" borderId="4" xfId="0" applyNumberFormat="1" applyFont="1" applyFill="1" applyBorder="1" applyAlignment="1">
      <x:alignment vertical="center"/>
    </x:xf>
    <x:xf numFmtId="0" fontId="2" fillId="9" borderId="4" xfId="0" applyNumberFormat="1" applyFont="1" applyFill="1" applyBorder="1" applyAlignment="1">
      <x:alignment horizontal="right" vertical="center"/>
    </x:xf>
    <x:xf numFmtId="201" fontId="2" fillId="9" borderId="0" xfId="0" applyNumberFormat="1" applyFont="1" applyFill="1" applyBorder="1" applyAlignment="1">
      <x:alignment horizontal="right" vertical="center"/>
    </x:xf>
    <x:xf numFmtId="201" fontId="2" fillId="9" borderId="4" xfId="0" applyNumberFormat="1" applyFont="1" applyFill="1" applyBorder="1" applyAlignment="1">
      <x:alignment horizontal="right" vertical="center"/>
    </x:xf>
    <x:xf numFmtId="202" fontId="2" fillId="9" borderId="0" xfId="0" applyNumberFormat="1" applyFont="1" applyFill="1" applyBorder="1" applyAlignment="1">
      <x:alignment horizontal="right" vertical="center"/>
    </x:xf>
    <x:xf numFmtId="202" fontId="2" fillId="9" borderId="4" xfId="0" applyNumberFormat="1" applyFont="1" applyFill="1" applyBorder="1" applyAlignment="1">
      <x:alignment horizontal="right"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right" vertical="center" wrapText="1"/>
    </x:xf>
    <x:xf numFmtId="0" fontId="2" fillId="9" borderId="4" xfId="0" applyNumberFormat="1" applyFont="1" applyFill="1" applyBorder="1" applyAlignment="1">
      <x:alignment horizontal="right" vertical="center" wrapText="1"/>
    </x:xf>
    <x:xf numFmtId="204" fontId="2" fillId="9" borderId="0" xfId="0" applyNumberFormat="1" applyFont="1" applyFill="1" applyBorder="1" applyAlignment="1">
      <x:alignment horizontal="right" vertical="center"/>
    </x:xf>
    <x:xf numFmtId="0" fontId="2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horizontal="right" vertical="center"/>
    </x:xf>
    <x:xf numFmtId="0" fontId="2" fillId="11" borderId="4" xfId="0" applyNumberFormat="1" applyFont="1" applyFill="1" applyBorder="1" applyAlignment="1">
      <x:alignment vertical="center"/>
    </x:xf>
    <x:xf numFmtId="0" fontId="2" fillId="11" borderId="4" xfId="0" applyNumberFormat="1" applyFont="1" applyFill="1" applyBorder="1" applyAlignment="1">
      <x:alignment horizontal="right" vertical="center"/>
    </x:xf>
    <x:xf numFmtId="201" fontId="2" fillId="11" borderId="0" xfId="0" applyNumberFormat="1" applyFont="1" applyFill="1" applyBorder="1" applyAlignment="1">
      <x:alignment horizontal="right" vertical="center"/>
    </x:xf>
    <x:xf numFmtId="201" fontId="2" fillId="11" borderId="4" xfId="0" applyNumberFormat="1" applyFont="1" applyFill="1" applyBorder="1" applyAlignment="1">
      <x:alignment horizontal="right" vertical="center"/>
    </x:xf>
    <x:xf numFmtId="202" fontId="2" fillId="11" borderId="0" xfId="0" applyNumberFormat="1" applyFont="1" applyFill="1" applyBorder="1" applyAlignment="1">
      <x:alignment horizontal="right" vertical="center"/>
    </x:xf>
    <x:xf numFmtId="202" fontId="2" fillId="11" borderId="4" xfId="0" applyNumberFormat="1" applyFont="1" applyFill="1" applyBorder="1" applyAlignment="1">
      <x:alignment horizontal="right"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4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right" vertical="center" wrapText="1"/>
    </x:xf>
    <x:xf numFmtId="0" fontId="2" fillId="11" borderId="4" xfId="0" applyNumberFormat="1" applyFont="1" applyFill="1" applyBorder="1" applyAlignment="1">
      <x:alignment horizontal="right" vertical="center" wrapText="1"/>
    </x:xf>
    <x:xf numFmtId="204" fontId="2" fillId="11" borderId="0" xfId="0" applyNumberFormat="1" applyFont="1" applyFill="1" applyBorder="1" applyAlignment="1">
      <x:alignment horizontal="right" vertical="center"/>
    </x:xf>
    <x:xf numFmtId="0" fontId="2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horizontal="right" vertical="center"/>
    </x:xf>
    <x:xf numFmtId="0" fontId="2" fillId="13" borderId="4" xfId="0" applyNumberFormat="1" applyFont="1" applyFill="1" applyBorder="1" applyAlignment="1">
      <x:alignment vertical="center"/>
    </x:xf>
    <x:xf numFmtId="0" fontId="2" fillId="13" borderId="4" xfId="0" applyNumberFormat="1" applyFont="1" applyFill="1" applyBorder="1" applyAlignment="1">
      <x:alignment horizontal="right" vertical="center"/>
    </x:xf>
    <x:xf numFmtId="201" fontId="2" fillId="13" borderId="0" xfId="0" applyNumberFormat="1" applyFont="1" applyFill="1" applyBorder="1" applyAlignment="1">
      <x:alignment horizontal="right" vertical="center"/>
    </x:xf>
    <x:xf numFmtId="201" fontId="2" fillId="13" borderId="4" xfId="0" applyNumberFormat="1" applyFont="1" applyFill="1" applyBorder="1" applyAlignment="1">
      <x:alignment horizontal="right" vertical="center"/>
    </x:xf>
    <x:xf numFmtId="202" fontId="2" fillId="13" borderId="0" xfId="0" applyNumberFormat="1" applyFont="1" applyFill="1" applyBorder="1" applyAlignment="1">
      <x:alignment horizontal="right" vertical="center"/>
    </x:xf>
    <x:xf numFmtId="202" fontId="2" fillId="13" borderId="4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4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horizontal="right" vertical="center" wrapText="1"/>
    </x:xf>
    <x:xf numFmtId="0" fontId="2" fillId="13" borderId="4" xfId="0" applyNumberFormat="1" applyFont="1" applyFill="1" applyBorder="1" applyAlignment="1">
      <x:alignment horizontal="right" vertical="center" wrapText="1"/>
    </x:xf>
    <x:xf numFmtId="204" fontId="2" fillId="13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7"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>
          <x:bgColor rgb="FFE5EEE3"/>
        </x:patternFill>
      </x:fill>
    </x:dxf>
    <x:dxf>
      <x:font>
        <x:b/>
        <x:color rgb="FF2D5828"/>
      </x:font>
      <x:fill>
        <x:patternFill patternType="solid">
          <x:bgColor rgb="FFE5EE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e01c476264176" /><Relationship Type="http://schemas.openxmlformats.org/officeDocument/2006/relationships/theme" Target="/xl/theme/theme1.xml" Id="Rb076287f6826478b" /><Relationship Type="http://schemas.openxmlformats.org/officeDocument/2006/relationships/sharedStrings" Target="/xl/sharedStrings.xml" Id="Rd8541207b63f42f2" /><Relationship Type="http://schemas.openxmlformats.org/officeDocument/2006/relationships/worksheet" Target="/xl/worksheets/sheet1.xml" Id="R19d59aa9b7924f4d" /><Relationship Type="http://schemas.openxmlformats.org/officeDocument/2006/relationships/worksheet" Target="/xl/worksheets/sheet2.xml" Id="R17b7bf357d3c4af6" /><Relationship Type="http://schemas.openxmlformats.org/officeDocument/2006/relationships/worksheet" Target="/xl/worksheets/sheet3.xml" Id="R59e281f42be2427f" /><Relationship Type="http://schemas.openxmlformats.org/officeDocument/2006/relationships/worksheet" Target="/xl/worksheets/sheet4.xml" Id="R1c705ce9ca5b44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45c2cb192b486a" /><Relationship Type="http://schemas.openxmlformats.org/officeDocument/2006/relationships/chart" Target="/xl/drawings/charts/chart2.xml" Id="R7c5c233aa7eb4663" /><Relationship Type="http://schemas.openxmlformats.org/officeDocument/2006/relationships/chart" Target="/xl/drawings/charts/chart3.xml" Id="R5d4f38fc2c1d4686" /><Relationship Type="http://schemas.openxmlformats.org/officeDocument/2006/relationships/chart" Target="/xl/drawings/charts/chart4.xml" Id="Rd26900fb087a48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三题：均分与总成本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6.1 Sol max</c:v>
          </c:tx>
          <c:spPr>
            <a:solidFill xmlns:a="http://schemas.openxmlformats.org/drawingml/2006/main">
              <a:srgbClr val="C43E66"/>
            </a:solidFill>
          </c:spPr>
          <c:xVal>
            <c:numLit>
              <c:formatCode>General</c:formatCode>
              <c:ptCount val="1"/>
              <c:pt idx="0">
                <c:v>0.6604860157849677</c:v>
              </c:pt>
            </c:numLit>
          </c:xVal>
          <c:yVal>
            <c:numRef>
              <c:f>'综合汇总'!$P$6</c:f>
              <c:numCache>
                <c:formatCode>0</c:formatCode>
                <c:ptCount val="1"/>
                <c:pt idx="0">
                  <c:v>98</c:v>
                </c:pt>
              </c:numCache>
            </c:numRef>
          </c:yVal>
        </c:ser>
        <c:ser>
          <c:idx val="1"/>
          <c:order val="1"/>
          <c:tx>
            <c:v>6.1 Sol xhigh</c:v>
          </c:tx>
          <c:spPr>
            <a:solidFill xmlns:a="http://schemas.openxmlformats.org/drawingml/2006/main">
              <a:srgbClr val="15746B"/>
            </a:solidFill>
          </c:spPr>
          <c:xVal>
            <c:numLit>
              <c:formatCode>General</c:formatCode>
              <c:ptCount val="1"/>
              <c:pt idx="0">
                <c:v>0.6121478383264869</c:v>
              </c:pt>
            </c:numLit>
          </c:xVal>
          <c:yVal>
            <c:numRef>
              <c:f>'综合汇总'!$P$7</c:f>
              <c:numCache>
                <c:formatCode>0</c:formatCode>
                <c:ptCount val="1"/>
                <c:pt idx="0">
                  <c:v>97</c:v>
                </c:pt>
              </c:numCache>
            </c:numRef>
          </c:yVal>
        </c:ser>
        <c:ser>
          <c:idx val="2"/>
          <c:order val="2"/>
          <c:tx>
            <c:v>Astra high</c:v>
          </c:tx>
          <c:spPr>
            <a:solidFill xmlns:a="http://schemas.openxmlformats.org/drawingml/2006/main">
              <a:srgbClr val="7E0C6E"/>
            </a:solidFill>
          </c:spPr>
          <c:xVal>
            <c:numLit>
              <c:formatCode>General</c:formatCode>
              <c:ptCount val="1"/>
              <c:pt idx="0">
                <c:v>1.1574567681342256</c:v>
              </c:pt>
            </c:numLit>
          </c:xVal>
          <c:yVal>
            <c:numRef>
              <c:f>'综合汇总'!$P$8</c:f>
              <c:numCache>
                <c:formatCode>0</c:formatCode>
                <c:ptCount val="1"/>
                <c:pt idx="0">
                  <c:v>95.66666666666667</c:v>
                </c:pt>
              </c:numCache>
            </c:numRef>
          </c:yVal>
        </c:ser>
        <c:ser>
          <c:idx val="3"/>
          <c:order val="3"/>
          <c:tx>
            <c:v>Sol max</c:v>
          </c:tx>
          <c:spPr>
            <a:solidFill xmlns:a="http://schemas.openxmlformats.org/drawingml/2006/main">
              <a:srgbClr val="167E9A"/>
            </a:solidFill>
          </c:spPr>
          <c:xVal>
            <c:numLit>
              <c:formatCode>General</c:formatCode>
              <c:ptCount val="1"/>
              <c:pt idx="0">
                <c:v>0.916559219301114</c:v>
              </c:pt>
            </c:numLit>
          </c:xVal>
          <c:yVal>
            <c:numRef>
              <c:f>'综合汇总'!$P$9</c:f>
              <c:numCache>
                <c:formatCode>0</c:formatCode>
                <c:ptCount val="1"/>
                <c:pt idx="0">
                  <c:v>94.33333333333333</c:v>
                </c:pt>
              </c:numCache>
            </c:numRef>
          </c:yVal>
        </c:ser>
        <c:ser>
          <c:idx val="4"/>
          <c:order val="4"/>
          <c:tx>
            <c:v>Opus 5.5 xhigh</c:v>
          </c:tx>
          <c:spPr>
            <a:solidFill xmlns:a="http://schemas.openxmlformats.org/drawingml/2006/main">
              <a:srgbClr val="BE644B"/>
            </a:solidFill>
          </c:spPr>
          <c:xVal>
            <c:numLit>
              <c:formatCode>General</c:formatCode>
              <c:ptCount val="1"/>
              <c:pt idx="0">
                <c:v>1.705607163404605</c:v>
              </c:pt>
            </c:numLit>
          </c:xVal>
          <c:yVal>
            <c:numRef>
              <c:f>'综合汇总'!$P$10</c:f>
              <c:numCache>
                <c:formatCode>0</c:formatCode>
                <c:ptCount val="1"/>
                <c:pt idx="0">
                  <c:v>87</c:v>
                </c:pt>
              </c:numCache>
            </c:numRef>
          </c:yVal>
        </c:ser>
        <c:ser>
          <c:idx val="5"/>
          <c:order val="5"/>
          <c:tx>
            <c:v>Sol xhigh</c:v>
          </c:tx>
          <c:spPr>
            <a:solidFill xmlns:a="http://schemas.openxmlformats.org/drawingml/2006/main">
              <a:srgbClr val="478B42"/>
            </a:solidFill>
          </c:spPr>
          <c:xVal>
            <c:numLit>
              <c:formatCode>General</c:formatCode>
              <c:ptCount val="1"/>
              <c:pt idx="0">
                <c:v>0.7912694809102685</c:v>
              </c:pt>
            </c:numLit>
          </c:xVal>
          <c:yVal>
            <c:numRef>
              <c:f>'综合汇总'!$P$11</c:f>
              <c:numCache>
                <c:formatCode>0</c:formatCode>
                <c:ptCount val="1"/>
                <c:pt idx="0">
                  <c:v>78.66666666666667</c:v>
                </c:pt>
              </c:numCache>
            </c:numRef>
          </c:yVal>
        </c:ser>
        <c:ser>
          <c:idx val="6"/>
          <c:order val="6"/>
          <c:tx>
            <c:v>5.6 Sol xhigh</c:v>
          </c:tx>
          <c:spPr>
            <a:solidFill xmlns:a="http://schemas.openxmlformats.org/drawingml/2006/main">
              <a:srgbClr val="52677E"/>
            </a:solidFill>
          </c:spPr>
          <c:xVal>
            <c:numLit>
              <c:formatCode>General</c:formatCode>
              <c:ptCount val="1"/>
              <c:pt idx="0">
                <c:v>1.318167720128966</c:v>
              </c:pt>
            </c:numLit>
          </c:xVal>
          <c:yVal>
            <c:numRef>
              <c:f>'综合汇总'!$P$12</c:f>
              <c:numCache>
                <c:formatCode>0</c:formatCode>
                <c:ptCount val="1"/>
                <c:pt idx="0">
                  <c:v>75.33333333333333</c:v>
                </c:pt>
              </c:numCache>
            </c:numRef>
          </c:yVal>
        </c:ser>
        <c:ser>
          <c:idx val="7"/>
          <c:order val="7"/>
          <c:tx>
            <c:v>Luna max</c:v>
          </c:tx>
          <c:spPr>
            <a:solidFill xmlns:a="http://schemas.openxmlformats.org/drawingml/2006/main">
              <a:srgbClr val="C88700"/>
            </a:solidFill>
          </c:spPr>
          <c:xVal>
            <c:numLit>
              <c:formatCode>General</c:formatCode>
              <c:ptCount val="1"/>
              <c:pt idx="0">
                <c:v>-0.3334820194451191</c:v>
              </c:pt>
            </c:numLit>
          </c:xVal>
          <c:yVal>
            <c:numRef>
              <c:f>'综合汇总'!$P$13</c:f>
              <c:numCache>
                <c:formatCode>0</c:formatCode>
                <c:ptCount val="1"/>
                <c:pt idx="0">
                  <c:v>71.66666666666667</c:v>
                </c:pt>
              </c:numCache>
            </c:numRef>
          </c:yVal>
        </c:ser>
        <c:ser>
          <c:idx val="8"/>
          <c:order val="8"/>
          <c:tx>
            <c:v>DeepSeek Flash max</c:v>
          </c:tx>
          <c:spPr>
            <a:solidFill xmlns:a="http://schemas.openxmlformats.org/drawingml/2006/main">
              <a:srgbClr val="6857B1"/>
            </a:solidFill>
          </c:spPr>
          <c:xVal>
            <c:numLit>
              <c:formatCode>General</c:formatCode>
              <c:ptCount val="1"/>
              <c:pt idx="0">
                <c:v>0.12090281761452719</c:v>
              </c:pt>
            </c:numLit>
          </c:xVal>
          <c:yVal>
            <c:numRef>
              <c:f>'综合汇总'!$P$14</c:f>
              <c:numCache>
                <c:formatCode>0</c:formatCode>
                <c:ptCount val="1"/>
                <c:pt idx="0">
                  <c:v>58.666666666666664</c:v>
                </c:pt>
              </c:numCache>
            </c:numRef>
          </c:yVal>
        </c:ser>
        <c:ser>
          <c:idx val="9"/>
          <c:order val="9"/>
          <c:tx>
            <c:v>Grok 4.7 high</c:v>
          </c:tx>
          <c:spPr>
            <a:solidFill xmlns:a="http://schemas.openxmlformats.org/drawingml/2006/main">
              <a:srgbClr val="888888"/>
            </a:solidFill>
          </c:spPr>
          <c:xVal>
            <c:numLit>
              <c:formatCode>General</c:formatCode>
              <c:ptCount val="1"/>
              <c:pt idx="0">
                <c:v>1.1666077030839104</c:v>
              </c:pt>
            </c:numLit>
          </c:xVal>
          <c:yVal>
            <c:numRef>
              <c:f>'综合汇总'!$P$15</c:f>
              <c:numCache>
                <c:formatCode>0</c:formatCode>
                <c:ptCount val="1"/>
                <c:pt idx="0">
                  <c:v>56.333333333333336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E4E1E6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Score / 100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log10(USD)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第 1 题：得分与记录成本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6.1 Sol max</c:v>
          </c:tx>
          <c:spPr>
            <a:solidFill xmlns:a="http://schemas.openxmlformats.org/drawingml/2006/main">
              <a:srgbClr val="C43E66"/>
            </a:solidFill>
          </c:spPr>
          <c:xVal>
            <c:numLit>
              <c:formatCode>General</c:formatCode>
              <c:ptCount val="1"/>
              <c:pt idx="0">
                <c:v>0.25406445291433793</c:v>
              </c:pt>
            </c:numLit>
          </c:xVal>
          <c:yVal>
            <c:numRef>
              <c:f>'综合汇总'!$P$19</c:f>
              <c:numCache>
                <c:formatCode>0</c:formatCode>
                <c:ptCount val="1"/>
                <c:pt idx="0">
                  <c:v>97</c:v>
                </c:pt>
              </c:numCache>
            </c:numRef>
          </c:yVal>
        </c:ser>
        <c:ser>
          <c:idx val="1"/>
          <c:order val="1"/>
          <c:tx>
            <c:v>6.1 Sol xhigh</c:v>
          </c:tx>
          <c:spPr>
            <a:solidFill xmlns:a="http://schemas.openxmlformats.org/drawingml/2006/main">
              <a:srgbClr val="15746B"/>
            </a:solidFill>
          </c:spPr>
          <c:xVal>
            <c:numLit>
              <c:formatCode>General</c:formatCode>
              <c:ptCount val="1"/>
              <c:pt idx="0">
                <c:v>0.20736503746907187</c:v>
              </c:pt>
            </c:numLit>
          </c:xVal>
          <c:yVal>
            <c:numRef>
              <c:f>'综合汇总'!$P$20</c:f>
              <c:numCache>
                <c:formatCode>0</c:formatCode>
                <c:ptCount val="1"/>
                <c:pt idx="0">
                  <c:v>95</c:v>
                </c:pt>
              </c:numCache>
            </c:numRef>
          </c:yVal>
        </c:ser>
        <c:ser>
          <c:idx val="2"/>
          <c:order val="2"/>
          <c:tx>
            <c:v>Sol max</c:v>
          </c:tx>
          <c:spPr>
            <a:solidFill xmlns:a="http://schemas.openxmlformats.org/drawingml/2006/main">
              <a:srgbClr val="167E9A"/>
            </a:solidFill>
          </c:spPr>
          <c:xVal>
            <c:numLit>
              <c:formatCode>General</c:formatCode>
              <c:ptCount val="1"/>
              <c:pt idx="0">
                <c:v>0.6146863422820126</c:v>
              </c:pt>
            </c:numLit>
          </c:xVal>
          <c:yVal>
            <c:numRef>
              <c:f>'综合汇总'!$P$21</c:f>
              <c:numCache>
                <c:formatCode>0</c:formatCode>
                <c:ptCount val="1"/>
                <c:pt idx="0">
                  <c:v>94</c:v>
                </c:pt>
              </c:numCache>
            </c:numRef>
          </c:yVal>
        </c:ser>
        <c:ser>
          <c:idx val="3"/>
          <c:order val="3"/>
          <c:tx>
            <c:v>Astra high</c:v>
          </c:tx>
          <c:spPr>
            <a:solidFill xmlns:a="http://schemas.openxmlformats.org/drawingml/2006/main">
              <a:srgbClr val="7E0C6E"/>
            </a:solidFill>
          </c:spPr>
          <c:xVal>
            <c:numLit>
              <c:formatCode>General</c:formatCode>
              <c:ptCount val="1"/>
              <c:pt idx="0">
                <c:v>0.7492724082984203</c:v>
              </c:pt>
            </c:numLit>
          </c:xVal>
          <c:yVal>
            <c:numRef>
              <c:f>'综合汇总'!$P$22</c:f>
              <c:numCache>
                <c:formatCode>0</c:formatCode>
                <c:ptCount val="1"/>
                <c:pt idx="0">
                  <c:v>92</c:v>
                </c:pt>
              </c:numCache>
            </c:numRef>
          </c:yVal>
        </c:ser>
        <c:ser>
          <c:idx val="4"/>
          <c:order val="4"/>
          <c:tx>
            <c:v>Opus 5.5 xhigh</c:v>
          </c:tx>
          <c:spPr>
            <a:solidFill xmlns:a="http://schemas.openxmlformats.org/drawingml/2006/main">
              <a:srgbClr val="BE644B"/>
            </a:solidFill>
          </c:spPr>
          <c:xVal>
            <c:numLit>
              <c:formatCode>General</c:formatCode>
              <c:ptCount val="1"/>
              <c:pt idx="0">
                <c:v>1.3812234150924612</c:v>
              </c:pt>
            </c:numLit>
          </c:xVal>
          <c:yVal>
            <c:numRef>
              <c:f>'综合汇总'!$P$23</c:f>
              <c:numCache>
                <c:formatCode>0</c:formatCode>
                <c:ptCount val="1"/>
                <c:pt idx="0">
                  <c:v>87</c:v>
                </c:pt>
              </c:numCache>
            </c:numRef>
          </c:yVal>
        </c:ser>
        <c:ser>
          <c:idx val="5"/>
          <c:order val="5"/>
          <c:tx>
            <c:v>5.6 Sol xhigh</c:v>
          </c:tx>
          <c:spPr>
            <a:solidFill xmlns:a="http://schemas.openxmlformats.org/drawingml/2006/main">
              <a:srgbClr val="52677E"/>
            </a:solidFill>
          </c:spPr>
          <c:xVal>
            <c:numLit>
              <c:formatCode>General</c:formatCode>
              <c:ptCount val="1"/>
              <c:pt idx="0">
                <c:v>0.6108730003800517</c:v>
              </c:pt>
            </c:numLit>
          </c:xVal>
          <c:yVal>
            <c:numRef>
              <c:f>'综合汇总'!$P$24</c:f>
              <c:numCache>
                <c:formatCode>0</c:formatCode>
                <c:ptCount val="1"/>
                <c:pt idx="0">
                  <c:v>57</c:v>
                </c:pt>
              </c:numCache>
            </c:numRef>
          </c:yVal>
        </c:ser>
        <c:ser>
          <c:idx val="6"/>
          <c:order val="6"/>
          <c:tx>
            <c:v>Sol xhigh</c:v>
          </c:tx>
          <c:spPr>
            <a:solidFill xmlns:a="http://schemas.openxmlformats.org/drawingml/2006/main">
              <a:srgbClr val="478B42"/>
            </a:solidFill>
          </c:spPr>
          <c:xVal>
            <c:numLit>
              <c:formatCode>General</c:formatCode>
              <c:ptCount val="1"/>
              <c:pt idx="0">
                <c:v>0.3776704393343231</c:v>
              </c:pt>
            </c:numLit>
          </c:xVal>
          <c:yVal>
            <c:numRef>
              <c:f>'综合汇总'!$P$25</c:f>
              <c:numCache>
                <c:formatCode>0</c:formatCode>
                <c:ptCount val="1"/>
                <c:pt idx="0">
                  <c:v>54</c:v>
                </c:pt>
              </c:numCache>
            </c:numRef>
          </c:yVal>
        </c:ser>
        <c:ser>
          <c:idx val="7"/>
          <c:order val="7"/>
          <c:tx>
            <c:v>Luna max</c:v>
          </c:tx>
          <c:spPr>
            <a:solidFill xmlns:a="http://schemas.openxmlformats.org/drawingml/2006/main">
              <a:srgbClr val="C88700"/>
            </a:solidFill>
          </c:spPr>
          <c:xVal>
            <c:numLit>
              <c:formatCode>General</c:formatCode>
              <c:ptCount val="1"/>
              <c:pt idx="0">
                <c:v>-0.7495799976911061</c:v>
              </c:pt>
            </c:numLit>
          </c:xVal>
          <c:yVal>
            <c:numRef>
              <c:f>'综合汇总'!$P$26</c:f>
              <c:numCache>
                <c:formatCode>0</c:formatCode>
                <c:ptCount val="1"/>
                <c:pt idx="0">
                  <c:v>53</c:v>
                </c:pt>
              </c:numCache>
            </c:numRef>
          </c:yVal>
        </c:ser>
        <c:ser>
          <c:idx val="8"/>
          <c:order val="8"/>
          <c:tx>
            <c:v>DeepSeek Flash max</c:v>
          </c:tx>
          <c:spPr>
            <a:solidFill xmlns:a="http://schemas.openxmlformats.org/drawingml/2006/main">
              <a:srgbClr val="6857B1"/>
            </a:solidFill>
          </c:spPr>
          <c:xVal>
            <c:numLit>
              <c:formatCode>General</c:formatCode>
              <c:ptCount val="1"/>
              <c:pt idx="0">
                <c:v>-0.3829996588791011</c:v>
              </c:pt>
            </c:numLit>
          </c:xVal>
          <c:yVal>
            <c:numRef>
              <c:f>'综合汇总'!$P$27</c:f>
              <c:numCache>
                <c:formatCode>0</c:formatCode>
                <c:ptCount val="1"/>
                <c:pt idx="0">
                  <c:v>47</c:v>
                </c:pt>
              </c:numCache>
            </c:numRef>
          </c:yVal>
        </c:ser>
        <c:ser>
          <c:idx val="9"/>
          <c:order val="9"/>
          <c:tx>
            <c:v>Grok 4.7 high</c:v>
          </c:tx>
          <c:spPr>
            <a:solidFill xmlns:a="http://schemas.openxmlformats.org/drawingml/2006/main">
              <a:srgbClr val="888888"/>
            </a:solidFill>
          </c:spPr>
          <c:xVal>
            <c:numLit>
              <c:formatCode>General</c:formatCode>
              <c:ptCount val="1"/>
              <c:pt idx="0">
                <c:v>0.6545615547417433</c:v>
              </c:pt>
            </c:numLit>
          </c:xVal>
          <c:yVal>
            <c:numRef>
              <c:f>'综合汇总'!$P$28</c:f>
              <c:numCache>
                <c:formatCode>0</c:formatCode>
                <c:ptCount val="1"/>
                <c:pt idx="0">
                  <c:v>30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E4E1E6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Score / 100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log10(USD)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第 2 题：得分与记录成本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6.1 Sol xhigh</c:v>
          </c:tx>
          <c:spPr>
            <a:solidFill xmlns:a="http://schemas.openxmlformats.org/drawingml/2006/main">
              <a:srgbClr val="15746B"/>
            </a:solidFill>
          </c:spPr>
          <c:xVal>
            <c:numLit>
              <c:formatCode>General</c:formatCode>
              <c:ptCount val="1"/>
              <c:pt idx="0">
                <c:v>0.04571405894086761</c:v>
              </c:pt>
            </c:numLit>
          </c:xVal>
          <c:yVal>
            <c:numRef>
              <c:f>'综合汇总'!$P$31</c:f>
              <c:numCache>
                <c:formatCode>0</c:formatCode>
                <c:ptCount val="1"/>
                <c:pt idx="0">
                  <c:v>98</c:v>
                </c:pt>
              </c:numCache>
            </c:numRef>
          </c:yVal>
        </c:ser>
        <c:ser>
          <c:idx val="1"/>
          <c:order val="1"/>
          <c:tx>
            <c:v>6.1 Sol max</c:v>
          </c:tx>
          <c:spPr>
            <a:solidFill xmlns:a="http://schemas.openxmlformats.org/drawingml/2006/main">
              <a:srgbClr val="C43E66"/>
            </a:solidFill>
          </c:spPr>
          <c:xVal>
            <c:numLit>
              <c:formatCode>General</c:formatCode>
              <c:ptCount val="1"/>
              <c:pt idx="0">
                <c:v>0.05690485133647255</c:v>
              </c:pt>
            </c:numLit>
          </c:xVal>
          <c:yVal>
            <c:numRef>
              <c:f>'综合汇总'!$P$32</c:f>
              <c:numCache>
                <c:formatCode>0</c:formatCode>
                <c:ptCount val="1"/>
                <c:pt idx="0">
                  <c:v>98</c:v>
                </c:pt>
              </c:numCache>
            </c:numRef>
          </c:yVal>
        </c:ser>
        <c:ser>
          <c:idx val="2"/>
          <c:order val="2"/>
          <c:tx>
            <c:v>Astra high</c:v>
          </c:tx>
          <c:spPr>
            <a:solidFill xmlns:a="http://schemas.openxmlformats.org/drawingml/2006/main">
              <a:srgbClr val="7E0C6E"/>
            </a:solidFill>
          </c:spPr>
          <c:xVal>
            <c:numLit>
              <c:formatCode>General</c:formatCode>
              <c:ptCount val="1"/>
              <c:pt idx="0">
                <c:v>0.6580113966571124</c:v>
              </c:pt>
            </c:numLit>
          </c:xVal>
          <c:yVal>
            <c:numRef>
              <c:f>'综合汇总'!$P$33</c:f>
              <c:numCache>
                <c:formatCode>0</c:formatCode>
                <c:ptCount val="1"/>
                <c:pt idx="0">
                  <c:v>97</c:v>
                </c:pt>
              </c:numCache>
            </c:numRef>
          </c:yVal>
        </c:ser>
        <c:ser>
          <c:idx val="3"/>
          <c:order val="3"/>
          <c:tx>
            <c:v>Sol max</c:v>
          </c:tx>
          <c:spPr>
            <a:solidFill xmlns:a="http://schemas.openxmlformats.org/drawingml/2006/main">
              <a:srgbClr val="167E9A"/>
            </a:solidFill>
          </c:spPr>
          <c:xVal>
            <c:numLit>
              <c:formatCode>General</c:formatCode>
              <c:ptCount val="1"/>
              <c:pt idx="0">
                <c:v>0.25863728272407643</c:v>
              </c:pt>
            </c:numLit>
          </c:xVal>
          <c:yVal>
            <c:numRef>
              <c:f>'综合汇总'!$P$34</c:f>
              <c:numCache>
                <c:formatCode>0</c:formatCode>
                <c:ptCount val="1"/>
                <c:pt idx="0">
                  <c:v>94</c:v>
                </c:pt>
              </c:numCache>
            </c:numRef>
          </c:yVal>
        </c:ser>
        <c:ser>
          <c:idx val="4"/>
          <c:order val="4"/>
          <c:tx>
            <c:v>Opus 5.5 xhigh</c:v>
          </c:tx>
          <c:spPr>
            <a:solidFill xmlns:a="http://schemas.openxmlformats.org/drawingml/2006/main">
              <a:srgbClr val="BE644B"/>
            </a:solidFill>
          </c:spPr>
          <c:xVal>
            <c:numLit>
              <c:formatCode>General</c:formatCode>
              <c:ptCount val="1"/>
              <c:pt idx="0">
                <c:v>1.0909630765957317</c:v>
              </c:pt>
            </c:numLit>
          </c:xVal>
          <c:yVal>
            <c:numRef>
              <c:f>'综合汇总'!$P$35</c:f>
              <c:numCache>
                <c:formatCode>0</c:formatCode>
                <c:ptCount val="1"/>
                <c:pt idx="0">
                  <c:v>93</c:v>
                </c:pt>
              </c:numCache>
            </c:numRef>
          </c:yVal>
        </c:ser>
        <c:ser>
          <c:idx val="5"/>
          <c:order val="5"/>
          <c:tx>
            <c:v>Sol xhigh</c:v>
          </c:tx>
          <c:spPr>
            <a:solidFill xmlns:a="http://schemas.openxmlformats.org/drawingml/2006/main">
              <a:srgbClr val="478B42"/>
            </a:solidFill>
          </c:spPr>
          <c:xVal>
            <c:numLit>
              <c:formatCode>General</c:formatCode>
              <c:ptCount val="1"/>
              <c:pt idx="0">
                <c:v>0.3334472744967504</c:v>
              </c:pt>
            </c:numLit>
          </c:xVal>
          <c:yVal>
            <c:numRef>
              <c:f>'综合汇总'!$P$36</c:f>
              <c:numCache>
                <c:formatCode>0</c:formatCode>
                <c:ptCount val="1"/>
                <c:pt idx="0">
                  <c:v>92</c:v>
                </c:pt>
              </c:numCache>
            </c:numRef>
          </c:yVal>
        </c:ser>
        <c:ser>
          <c:idx val="6"/>
          <c:order val="6"/>
          <c:tx>
            <c:v>5.6 Sol xhigh</c:v>
          </c:tx>
          <c:spPr>
            <a:solidFill xmlns:a="http://schemas.openxmlformats.org/drawingml/2006/main">
              <a:srgbClr val="52677E"/>
            </a:solidFill>
          </c:spPr>
          <c:xVal>
            <c:numLit>
              <c:formatCode>General</c:formatCode>
              <c:ptCount val="1"/>
              <c:pt idx="0">
                <c:v>0.44138088491651134</c:v>
              </c:pt>
            </c:numLit>
          </c:xVal>
          <c:yVal>
            <c:numRef>
              <c:f>'综合汇总'!$P$37</c:f>
              <c:numCache>
                <c:formatCode>0</c:formatCode>
                <c:ptCount val="1"/>
                <c:pt idx="0">
                  <c:v>87</c:v>
                </c:pt>
              </c:numCache>
            </c:numRef>
          </c:yVal>
        </c:ser>
        <c:ser>
          <c:idx val="7"/>
          <c:order val="7"/>
          <c:tx>
            <c:v>Luna max</c:v>
          </c:tx>
          <c:spPr>
            <a:solidFill xmlns:a="http://schemas.openxmlformats.org/drawingml/2006/main">
              <a:srgbClr val="C88700"/>
            </a:solidFill>
          </c:spPr>
          <c:xVal>
            <c:numLit>
              <c:formatCode>General</c:formatCode>
              <c:ptCount val="1"/>
              <c:pt idx="0">
                <c:v>-0.8446639625349383</c:v>
              </c:pt>
            </c:numLit>
          </c:xVal>
          <c:yVal>
            <c:numRef>
              <c:f>'综合汇总'!$P$38</c:f>
              <c:numCache>
                <c:formatCode>0</c:formatCode>
                <c:ptCount val="1"/>
                <c:pt idx="0">
                  <c:v>86</c:v>
                </c:pt>
              </c:numCache>
            </c:numRef>
          </c:yVal>
        </c:ser>
        <c:ser>
          <c:idx val="8"/>
          <c:order val="8"/>
          <c:tx>
            <c:v>DeepSeek Flash max</c:v>
          </c:tx>
          <c:spPr>
            <a:solidFill xmlns:a="http://schemas.openxmlformats.org/drawingml/2006/main">
              <a:srgbClr val="6857B1"/>
            </a:solidFill>
          </c:spPr>
          <c:xVal>
            <c:numLit>
              <c:formatCode>General</c:formatCode>
              <c:ptCount val="1"/>
              <c:pt idx="0">
                <c:v>-0.36653154442041347</c:v>
              </c:pt>
            </c:numLit>
          </c:xVal>
          <c:yVal>
            <c:numRef>
              <c:f>'综合汇总'!$P$39</c:f>
              <c:numCache>
                <c:formatCode>0</c:formatCode>
                <c:ptCount val="1"/>
                <c:pt idx="0">
                  <c:v>75</c:v>
                </c:pt>
              </c:numCache>
            </c:numRef>
          </c:yVal>
        </c:ser>
        <c:ser>
          <c:idx val="9"/>
          <c:order val="9"/>
          <c:tx>
            <c:v>Grok 4.7 high</c:v>
          </c:tx>
          <c:spPr>
            <a:solidFill xmlns:a="http://schemas.openxmlformats.org/drawingml/2006/main">
              <a:srgbClr val="888888"/>
            </a:solidFill>
          </c:spPr>
          <c:xVal>
            <c:numLit>
              <c:formatCode>General</c:formatCode>
              <c:ptCount val="1"/>
              <c:pt idx="0">
                <c:v>0.6308345178280506</c:v>
              </c:pt>
            </c:numLit>
          </c:xVal>
          <c:yVal>
            <c:numRef>
              <c:f>'综合汇总'!$P$40</c:f>
              <c:numCache>
                <c:formatCode>0</c:formatCode>
                <c:ptCount val="1"/>
                <c:pt idx="0">
                  <c:v>69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E4E1E6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Score / 100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log10(USD)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第 3 题：得分与记录成本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6.1 Sol max</c:v>
          </c:tx>
          <c:spPr>
            <a:solidFill xmlns:a="http://schemas.openxmlformats.org/drawingml/2006/main">
              <a:srgbClr val="C43E66"/>
            </a:solidFill>
          </c:spPr>
          <c:xVal>
            <c:numLit>
              <c:formatCode>General</c:formatCode>
              <c:ptCount val="1"/>
              <c:pt idx="0">
                <c:v>0.21510858105309322</c:v>
              </c:pt>
            </c:numLit>
          </c:xVal>
          <c:yVal>
            <c:numRef>
              <c:f>'综合汇总'!$P$43</c:f>
              <c:numCache>
                <c:formatCode>0</c:formatCode>
                <c:ptCount val="1"/>
                <c:pt idx="0">
                  <c:v>99</c:v>
                </c:pt>
              </c:numCache>
            </c:numRef>
          </c:yVal>
        </c:ser>
        <c:ser>
          <c:idx val="1"/>
          <c:order val="1"/>
          <c:tx>
            <c:v>Astra high</c:v>
          </c:tx>
          <c:spPr>
            <a:solidFill xmlns:a="http://schemas.openxmlformats.org/drawingml/2006/main">
              <a:srgbClr val="7E0C6E"/>
            </a:solidFill>
          </c:spPr>
          <c:xVal>
            <c:numLit>
              <c:formatCode>General</c:formatCode>
              <c:ptCount val="1"/>
              <c:pt idx="0">
                <c:v>0.6238692683503023</c:v>
              </c:pt>
            </c:numLit>
          </c:xVal>
          <c:yVal>
            <c:numRef>
              <c:f>'综合汇总'!$P$44</c:f>
              <c:numCache>
                <c:formatCode>0</c:formatCode>
                <c:ptCount val="1"/>
                <c:pt idx="0">
                  <c:v>98</c:v>
                </c:pt>
              </c:numCache>
            </c:numRef>
          </c:yVal>
        </c:ser>
        <c:ser>
          <c:idx val="2"/>
          <c:order val="2"/>
          <c:tx>
            <c:v>6.1 Sol xhigh</c:v>
          </c:tx>
          <c:spPr>
            <a:solidFill xmlns:a="http://schemas.openxmlformats.org/drawingml/2006/main">
              <a:srgbClr val="15746B"/>
            </a:solidFill>
          </c:spPr>
          <c:xVal>
            <c:numLit>
              <c:formatCode>General</c:formatCode>
              <c:ptCount val="1"/>
              <c:pt idx="0">
                <c:v>0.13703745478951265</c:v>
              </c:pt>
            </c:numLit>
          </c:xVal>
          <c:yVal>
            <c:numRef>
              <c:f>'综合汇总'!$P$45</c:f>
              <c:numCache>
                <c:formatCode>0</c:formatCode>
                <c:ptCount val="1"/>
                <c:pt idx="0">
                  <c:v>98</c:v>
                </c:pt>
              </c:numCache>
            </c:numRef>
          </c:yVal>
        </c:ser>
        <c:ser>
          <c:idx val="3"/>
          <c:order val="3"/>
          <c:tx>
            <c:v>Sol max</c:v>
          </c:tx>
          <c:spPr>
            <a:solidFill xmlns:a="http://schemas.openxmlformats.org/drawingml/2006/main">
              <a:srgbClr val="167E9A"/>
            </a:solidFill>
          </c:spPr>
          <c:xVal>
            <c:numLit>
              <c:formatCode>General</c:formatCode>
              <c:ptCount val="1"/>
              <c:pt idx="0">
                <c:v>0.3654879848908996</c:v>
              </c:pt>
            </c:numLit>
          </c:xVal>
          <c:yVal>
            <c:numRef>
              <c:f>'综合汇总'!$P$46</c:f>
              <c:numCache>
                <c:formatCode>0</c:formatCode>
                <c:ptCount val="1"/>
                <c:pt idx="0">
                  <c:v>95</c:v>
                </c:pt>
              </c:numCache>
            </c:numRef>
          </c:yVal>
        </c:ser>
        <c:ser>
          <c:idx val="4"/>
          <c:order val="4"/>
          <c:tx>
            <c:v>Sol xhigh</c:v>
          </c:tx>
          <c:spPr>
            <a:solidFill xmlns:a="http://schemas.openxmlformats.org/drawingml/2006/main">
              <a:srgbClr val="478B42"/>
            </a:solidFill>
          </c:spPr>
          <c:xVal>
            <c:numLit>
              <c:formatCode>General</c:formatCode>
              <c:ptCount val="1"/>
              <c:pt idx="0">
                <c:v>0.2156375634350617</c:v>
              </c:pt>
            </c:numLit>
          </c:xVal>
          <c:yVal>
            <c:numRef>
              <c:f>'综合汇总'!$P$47</c:f>
              <c:numCache>
                <c:formatCode>0</c:formatCode>
                <c:ptCount val="1"/>
                <c:pt idx="0">
                  <c:v>90</c:v>
                </c:pt>
              </c:numCache>
            </c:numRef>
          </c:yVal>
        </c:ser>
        <c:ser>
          <c:idx val="5"/>
          <c:order val="5"/>
          <c:tx>
            <c:v>5.6 Sol xhigh</c:v>
          </c:tx>
          <c:spPr>
            <a:solidFill xmlns:a="http://schemas.openxmlformats.org/drawingml/2006/main">
              <a:srgbClr val="52677E"/>
            </a:solidFill>
          </c:spPr>
          <c:xVal>
            <c:numLit>
              <c:formatCode>General</c:formatCode>
              <c:ptCount val="1"/>
              <c:pt idx="0">
                <c:v>1.1448854182871424</c:v>
              </c:pt>
            </c:numLit>
          </c:xVal>
          <c:yVal>
            <c:numRef>
              <c:f>'综合汇总'!$P$48</c:f>
              <c:numCache>
                <c:formatCode>0</c:formatCode>
                <c:ptCount val="1"/>
                <c:pt idx="0">
                  <c:v>82</c:v>
                </c:pt>
              </c:numCache>
            </c:numRef>
          </c:yVal>
        </c:ser>
        <c:ser>
          <c:idx val="6"/>
          <c:order val="6"/>
          <c:tx>
            <c:v>Opus 5.5 xhigh</c:v>
          </c:tx>
          <c:spPr>
            <a:solidFill xmlns:a="http://schemas.openxmlformats.org/drawingml/2006/main">
              <a:srgbClr val="BE644B"/>
            </a:solidFill>
          </c:spPr>
          <c:xVal>
            <c:numLit>
              <c:formatCode>General</c:formatCode>
              <c:ptCount val="1"/>
              <c:pt idx="0">
                <c:v>1.1578796743891535</c:v>
              </c:pt>
            </c:numLit>
          </c:xVal>
          <c:yVal>
            <c:numRef>
              <c:f>'综合汇总'!$P$49</c:f>
              <c:numCache>
                <c:formatCode>0</c:formatCode>
                <c:ptCount val="1"/>
                <c:pt idx="0">
                  <c:v>81</c:v>
                </c:pt>
              </c:numCache>
            </c:numRef>
          </c:yVal>
        </c:ser>
        <c:ser>
          <c:idx val="7"/>
          <c:order val="7"/>
          <c:tx>
            <c:v>Luna max</c:v>
          </c:tx>
          <c:spPr>
            <a:solidFill xmlns:a="http://schemas.openxmlformats.org/drawingml/2006/main">
              <a:srgbClr val="C88700"/>
            </a:solidFill>
          </c:spPr>
          <c:xVal>
            <c:numLit>
              <c:formatCode>General</c:formatCode>
              <c:ptCount val="1"/>
              <c:pt idx="0">
                <c:v>-0.8446639625349383</c:v>
              </c:pt>
            </c:numLit>
          </c:xVal>
          <c:yVal>
            <c:numRef>
              <c:f>'综合汇总'!$P$50</c:f>
              <c:numCache>
                <c:formatCode>0</c:formatCode>
                <c:ptCount val="1"/>
                <c:pt idx="0">
                  <c:v>76</c:v>
                </c:pt>
              </c:numCache>
            </c:numRef>
          </c:yVal>
        </c:ser>
        <c:ser>
          <c:idx val="8"/>
          <c:order val="8"/>
          <c:tx>
            <c:v>Grok 4.7 high</c:v>
          </c:tx>
          <c:spPr>
            <a:solidFill xmlns:a="http://schemas.openxmlformats.org/drawingml/2006/main">
              <a:srgbClr val="888888"/>
            </a:solidFill>
          </c:spPr>
          <c:xVal>
            <c:numLit>
              <c:formatCode>General</c:formatCode>
              <c:ptCount val="1"/>
              <c:pt idx="0">
                <c:v>0.7699678013294424</c:v>
              </c:pt>
            </c:numLit>
          </c:xVal>
          <c:yVal>
            <c:numRef>
              <c:f>'综合汇总'!$P$51</c:f>
              <c:numCache>
                <c:formatCode>0</c:formatCode>
                <c:ptCount val="1"/>
                <c:pt idx="0">
                  <c:v>70</c:v>
                </c:pt>
              </c:numCache>
            </c:numRef>
          </c:yVal>
        </c:ser>
        <c:ser>
          <c:idx val="9"/>
          <c:order val="9"/>
          <c:tx>
            <c:v>DeepSeek Flash max</c:v>
          </c:tx>
          <c:spPr>
            <a:solidFill xmlns:a="http://schemas.openxmlformats.org/drawingml/2006/main">
              <a:srgbClr val="6857B1"/>
            </a:solidFill>
          </c:spPr>
          <c:xVal>
            <c:numLit>
              <c:formatCode>General</c:formatCode>
              <c:ptCount val="1"/>
              <c:pt idx="0">
                <c:v>-0.3214816209598861</c:v>
              </c:pt>
            </c:numLit>
          </c:xVal>
          <c:yVal>
            <c:numRef>
              <c:f>'综合汇总'!$P$52</c:f>
              <c:numCache>
                <c:formatCode>0</c:formatCode>
                <c:ptCount val="1"/>
                <c:pt idx="0">
                  <c:v>54</c:v>
                </c:pt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4763">
              <a:solidFill>
                <a:srgbClr val="E4E1E6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Score / 100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/>
                  <a:t>log10(USD)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/>
              </a:pPr>
            </a:p>
          </c:txPr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47</xdr:row>
      <xdr:rowOff>0</xdr:rowOff>
    </xdr:from>
    <xdr:to>
      <xdr:col>6</xdr:col>
      <xdr:colOff>0</xdr:colOff>
      <xdr:row>69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5c2cb192b486a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0</xdr:colOff>
      <xdr:row>69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5c233aa7eb4663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6</xdr:col>
      <xdr:colOff>0</xdr:colOff>
      <xdr:row>92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4f38fc2c1d468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0</xdr:colOff>
      <xdr:row>92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900fb087a48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27b918ad3484b22" /></Relationships>
</file>

<file path=xl/worksheets/sheet1.xml><?xml version="1.0" encoding="utf-8"?>
<x:worksheet xmlns:x="http://schemas.openxmlformats.org/spreadsheetml/2006/main">
  <x:sheetFormatPr defaultRowHeight="14"/>
  <x:cols>
    <x:col min="2" max="2" width="31.8799991607666" hidden="0" customWidth="1"/>
    <x:col min="3" max="3" width="15.630000114440918" hidden="0" customWidth="1"/>
    <x:col min="1" max="1" width="9.380000114440918" hidden="0" customWidth="1"/>
    <x:col min="4" max="4" width="15.630000114440918" hidden="0" customWidth="1"/>
  </x:cols>
  <x:sheetData>
    <x:row r="1" ht="21" customHeight="1">
      <x:c r="A1" t="s">
        <x:v>0</x:v>
      </x:c>
      <x:c r="B1" t="s">
        <x:v>1</x:v>
      </x:c>
      <x:c r="C1" t="s">
        <x:v>2</x:v>
      </x:c>
      <x:c r="D1" t="s">
        <x:v>3</x:v>
      </x:c>
    </x:row>
    <x:row r="2" ht="21" customHeight="1">
      <x:c r="A2" s="44" t="str">
        <x:v>1a</x:v>
      </x:c>
      <x:c r="B2" s="44" t="str">
        <x:v>GPT-5.6 Sol xhigh</x:v>
      </x:c>
      <x:c r="C2" s="45" t="n">
        <x:v>4.082</x:v>
      </x:c>
      <x:c r="D2" s="46" t="n">
        <x:v>57</x:v>
      </x:c>
    </x:row>
    <x:row r="3" ht="21" customHeight="1">
      <x:c r="A3" s="44" t="str">
        <x:v>1b</x:v>
      </x:c>
      <x:c r="B3" s="44" t="str">
        <x:v>GPT-6 Astra high</x:v>
      </x:c>
      <x:c r="C3" s="45" t="n">
        <x:v>5.614</x:v>
      </x:c>
      <x:c r="D3" s="46" t="n">
        <x:v>92</x:v>
      </x:c>
    </x:row>
    <x:row r="4" ht="21" customHeight="1">
      <x:c r="A4" s="44" t="str">
        <x:v>1c</x:v>
      </x:c>
      <x:c r="B4" s="44" t="str">
        <x:v>GPT-6 Sol xhigh</x:v>
      </x:c>
      <x:c r="C4" s="45" t="n">
        <x:v>2.386</x:v>
      </x:c>
      <x:c r="D4" s="46" t="n">
        <x:v>54</x:v>
      </x:c>
    </x:row>
    <x:row r="5" ht="21" customHeight="1">
      <x:c r="A5" s="44" t="str">
        <x:v>1d</x:v>
      </x:c>
      <x:c r="B5" s="44" t="str">
        <x:v>Grok 4.7 high</x:v>
      </x:c>
      <x:c r="C5" s="45" t="n">
        <x:v>4.514</x:v>
      </x:c>
      <x:c r="D5" s="46" t="n">
        <x:v>30</x:v>
      </x:c>
    </x:row>
    <x:row r="6" ht="21" customHeight="1">
      <x:c r="A6" s="44" t="str">
        <x:v>s_1a</x:v>
      </x:c>
      <x:c r="B6" s="44" t="str">
        <x:v>Opus 5.5 xhigh</x:v>
      </x:c>
      <x:c r="C6" s="45" t="n">
        <x:v>24.056</x:v>
      </x:c>
      <x:c r="D6" s="46" t="n">
        <x:v>87</x:v>
      </x:c>
    </x:row>
    <x:row r="7" ht="21" customHeight="1">
      <x:c r="A7" s="44" t="str">
        <x:v>s_1b</x:v>
      </x:c>
      <x:c r="B7" s="44" t="str">
        <x:v>GPT-6 Sol max</x:v>
      </x:c>
      <x:c r="C7" s="45" t="n">
        <x:v>4.118</x:v>
      </x:c>
      <x:c r="D7" s="46" t="n">
        <x:v>94</x:v>
      </x:c>
    </x:row>
    <x:row r="8" ht="21" customHeight="1">
      <x:c r="A8" s="44" t="str">
        <x:v>s_1c</x:v>
      </x:c>
      <x:c r="B8" s="44" t="str">
        <x:v>GPT-6 Luna max</x:v>
      </x:c>
      <x:c r="C8" s="45" t="n">
        <x:v>0.178</x:v>
      </x:c>
      <x:c r="D8" s="46" t="n">
        <x:v>53</x:v>
      </x:c>
    </x:row>
    <x:row r="9" ht="21" customHeight="1">
      <x:c r="A9" s="44" t="str">
        <x:v>s_1d</x:v>
      </x:c>
      <x:c r="B9" s="44" t="str">
        <x:v>DeepSeek V4.1 Flash max</x:v>
      </x:c>
      <x:c r="C9" s="45" t="n">
        <x:v>0.414</x:v>
      </x:c>
      <x:c r="D9" s="46" t="n">
        <x:v>47</x:v>
      </x:c>
    </x:row>
    <x:row r="10" ht="21" customHeight="1">
      <x:c r="A10" s="44" t="str">
        <x:v>s2_1a</x:v>
      </x:c>
      <x:c r="B10" s="44" t="str">
        <x:v>GPT-6.1 Sol xhigh</x:v>
      </x:c>
      <x:c r="C10" s="45" t="n">
        <x:v>1.612</x:v>
      </x:c>
      <x:c r="D10" s="46" t="n">
        <x:v>95</x:v>
      </x:c>
    </x:row>
    <x:row r="11" ht="21" customHeight="1">
      <x:c r="A11" s="44" t="str">
        <x:v>s2_1b</x:v>
      </x:c>
      <x:c r="B11" s="44" t="str">
        <x:v>GPT-6.1 Sol max</x:v>
      </x:c>
      <x:c r="C11" s="45" t="n">
        <x:v>1.795</x:v>
      </x:c>
      <x:c r="D11" s="46" t="n">
        <x:v>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2" max="2" width="31.8799991607666" hidden="0" customWidth="1"/>
    <x:col min="3" max="3" width="15.630000114440918" hidden="0" customWidth="1"/>
    <x:col min="4" max="4" width="15.630000114440918" hidden="0" customWidth="1"/>
    <x:col min="1" max="1" width="9.380000114440918" hidden="0" customWidth="1"/>
  </x:cols>
  <x:sheetData>
    <x:row r="1" ht="21" customHeight="1">
      <x:c r="A1" t="s">
        <x:v>0</x:v>
      </x:c>
      <x:c r="B1" t="s">
        <x:v>1</x:v>
      </x:c>
      <x:c r="C1" t="s">
        <x:v>2</x:v>
      </x:c>
      <x:c r="D1" t="s">
        <x:v>3</x:v>
      </x:c>
    </x:row>
    <x:row r="2" ht="21" customHeight="1">
      <x:c r="A2" s="44" t="str">
        <x:v>2a</x:v>
      </x:c>
      <x:c r="B2" s="44" t="str">
        <x:v>GPT-5.6 Sol xhigh</x:v>
      </x:c>
      <x:c r="C2" s="45" t="n">
        <x:v>2.763</x:v>
      </x:c>
      <x:c r="D2" s="46" t="n">
        <x:v>87</x:v>
      </x:c>
    </x:row>
    <x:row r="3" ht="21" customHeight="1">
      <x:c r="A3" s="44" t="str">
        <x:v>2b</x:v>
      </x:c>
      <x:c r="B3" s="44" t="str">
        <x:v>GPT-6 Luna max</x:v>
      </x:c>
      <x:c r="C3" s="45" t="n">
        <x:v>0.143</x:v>
      </x:c>
      <x:c r="D3" s="46" t="n">
        <x:v>86</x:v>
      </x:c>
    </x:row>
    <x:row r="4" ht="21" customHeight="1">
      <x:c r="A4" s="44" t="str">
        <x:v>2c</x:v>
      </x:c>
      <x:c r="B4" s="44" t="str">
        <x:v>GPT-6 Sol max</x:v>
      </x:c>
      <x:c r="C4" s="45" t="n">
        <x:v>1.814</x:v>
      </x:c>
      <x:c r="D4" s="46" t="n">
        <x:v>94</x:v>
      </x:c>
    </x:row>
    <x:row r="5" ht="21" customHeight="1">
      <x:c r="A5" s="44" t="str">
        <x:v>2d</x:v>
      </x:c>
      <x:c r="B5" s="44" t="str">
        <x:v>GPT-6 Sol xhigh</x:v>
      </x:c>
      <x:c r="C5" s="45" t="n">
        <x:v>2.155</x:v>
      </x:c>
      <x:c r="D5" s="46" t="n">
        <x:v>92</x:v>
      </x:c>
    </x:row>
    <x:row r="6" ht="21" customHeight="1">
      <x:c r="A6" s="44" t="str">
        <x:v>2e</x:v>
      </x:c>
      <x:c r="B6" s="44" t="str">
        <x:v>GPT-6 Astra high</x:v>
      </x:c>
      <x:c r="C6" s="45" t="n">
        <x:v>4.55</x:v>
      </x:c>
      <x:c r="D6" s="46" t="n">
        <x:v>97</x:v>
      </x:c>
    </x:row>
    <x:row r="7" ht="21" customHeight="1">
      <x:c r="A7" s="44" t="str">
        <x:v>2f</x:v>
      </x:c>
      <x:c r="B7" s="44" t="str">
        <x:v>Grok 4.7 high</x:v>
      </x:c>
      <x:c r="C7" s="45" t="n">
        <x:v>4.274</x:v>
      </x:c>
      <x:c r="D7" s="46" t="n">
        <x:v>69</x:v>
      </x:c>
    </x:row>
    <x:row r="8" ht="21" customHeight="1">
      <x:c r="A8" s="44" t="str">
        <x:v>s_2a</x:v>
      </x:c>
      <x:c r="B8" s="44" t="str">
        <x:v>Opus 5.5 xhigh</x:v>
      </x:c>
      <x:c r="C8" s="45" t="n">
        <x:v>12.33</x:v>
      </x:c>
      <x:c r="D8" s="46" t="n">
        <x:v>93</x:v>
      </x:c>
    </x:row>
    <x:row r="9" ht="21" customHeight="1">
      <x:c r="A9" s="44" t="str">
        <x:v>s_2b</x:v>
      </x:c>
      <x:c r="B9" s="44" t="str">
        <x:v>DeepSeek V4.1 Flash max</x:v>
      </x:c>
      <x:c r="C9" s="45" t="n">
        <x:v>0.43</x:v>
      </x:c>
      <x:c r="D9" s="46" t="n">
        <x:v>75</x:v>
      </x:c>
    </x:row>
    <x:row r="10" ht="21" customHeight="1">
      <x:c r="A10" s="44" t="str">
        <x:v>s2_2a</x:v>
      </x:c>
      <x:c r="B10" s="44" t="str">
        <x:v>GPT-6.1 Sol xhigh</x:v>
      </x:c>
      <x:c r="C10" s="45" t="n">
        <x:v>1.111</x:v>
      </x:c>
      <x:c r="D10" s="46" t="n">
        <x:v>98</x:v>
      </x:c>
    </x:row>
    <x:row r="11" ht="21" customHeight="1">
      <x:c r="A11" s="44" t="str">
        <x:v>s2_2b</x:v>
      </x:c>
      <x:c r="B11" s="44" t="str">
        <x:v>GPT-6.1 Sol max</x:v>
      </x:c>
      <x:c r="C11" s="45" t="n">
        <x:v>1.14</x:v>
      </x:c>
      <x:c r="D11" s="46" t="n">
        <x:v>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2" max="2" width="31.8799991607666" hidden="0" customWidth="1"/>
    <x:col min="3" max="3" width="15.630000114440918" hidden="0" customWidth="1"/>
    <x:col min="1" max="1" width="9.380000114440918" hidden="0" customWidth="1"/>
    <x:col min="4" max="4" width="15.630000114440918" hidden="0" customWidth="1"/>
  </x:cols>
  <x:sheetData>
    <x:row r="1" ht="21" customHeight="1">
      <x:c r="A1" t="s">
        <x:v>0</x:v>
      </x:c>
      <x:c r="B1" t="s">
        <x:v>1</x:v>
      </x:c>
      <x:c r="C1" t="s">
        <x:v>2</x:v>
      </x:c>
      <x:c r="D1" t="s">
        <x:v>3</x:v>
      </x:c>
    </x:row>
    <x:row r="2" ht="21" customHeight="1">
      <x:c r="A2" s="44" t="str">
        <x:v>3a</x:v>
      </x:c>
      <x:c r="B2" s="44" t="str">
        <x:v>GPT-5.6 Sol xhigh</x:v>
      </x:c>
      <x:c r="C2" s="45" t="n">
        <x:v>13.96</x:v>
      </x:c>
      <x:c r="D2" s="46" t="n">
        <x:v>82</x:v>
      </x:c>
    </x:row>
    <x:row r="3" ht="21" customHeight="1">
      <x:c r="A3" s="44" t="str">
        <x:v>3b</x:v>
      </x:c>
      <x:c r="B3" s="44" t="str">
        <x:v>GPT-6 Luna max</x:v>
      </x:c>
      <x:c r="C3" s="45" t="n">
        <x:v>0.143</x:v>
      </x:c>
      <x:c r="D3" s="46" t="n">
        <x:v>76</x:v>
      </x:c>
    </x:row>
    <x:row r="4" ht="21" customHeight="1">
      <x:c r="A4" s="44" t="str">
        <x:v>3c</x:v>
      </x:c>
      <x:c r="B4" s="44" t="str">
        <x:v>GPT-6 Sol max</x:v>
      </x:c>
      <x:c r="C4" s="45" t="n">
        <x:v>2.32</x:v>
      </x:c>
      <x:c r="D4" s="46" t="n">
        <x:v>95</x:v>
      </x:c>
    </x:row>
    <x:row r="5" ht="21" customHeight="1">
      <x:c r="A5" s="44" t="str">
        <x:v>3d</x:v>
      </x:c>
      <x:c r="B5" s="44" t="str">
        <x:v>GPT-6 Sol xhigh</x:v>
      </x:c>
      <x:c r="C5" s="45" t="n">
        <x:v>1.643</x:v>
      </x:c>
      <x:c r="D5" s="46" t="n">
        <x:v>90</x:v>
      </x:c>
    </x:row>
    <x:row r="6" ht="21" customHeight="1">
      <x:c r="A6" s="44" t="str">
        <x:v>3e</x:v>
      </x:c>
      <x:c r="B6" s="44" t="str">
        <x:v>GPT-6 Astra high</x:v>
      </x:c>
      <x:c r="C6" s="45" t="n">
        <x:v>4.206</x:v>
      </x:c>
      <x:c r="D6" s="46" t="n">
        <x:v>98</x:v>
      </x:c>
    </x:row>
    <x:row r="7" ht="21" customHeight="1">
      <x:c r="A7" s="44" t="str">
        <x:v>3f</x:v>
      </x:c>
      <x:c r="B7" s="44" t="str">
        <x:v>Grok 4.7 high</x:v>
      </x:c>
      <x:c r="C7" s="45" t="n">
        <x:v>5.888</x:v>
      </x:c>
      <x:c r="D7" s="46" t="n">
        <x:v>70</x:v>
      </x:c>
    </x:row>
    <x:row r="8" ht="21" customHeight="1">
      <x:c r="A8" s="44" t="str">
        <x:v>s_3a</x:v>
      </x:c>
      <x:c r="B8" s="44" t="str">
        <x:v>Opus 5.5 xhigh</x:v>
      </x:c>
      <x:c r="C8" s="45" t="n">
        <x:v>14.384</x:v>
      </x:c>
      <x:c r="D8" s="46" t="n">
        <x:v>81</x:v>
      </x:c>
    </x:row>
    <x:row r="9" ht="21" customHeight="1">
      <x:c r="A9" s="44" t="str">
        <x:v>s_3b</x:v>
      </x:c>
      <x:c r="B9" s="44" t="str">
        <x:v>DeepSeek V4.1 Flash max</x:v>
      </x:c>
      <x:c r="C9" s="45" t="n">
        <x:v>0.477</x:v>
      </x:c>
      <x:c r="D9" s="46" t="n">
        <x:v>54</x:v>
      </x:c>
    </x:row>
    <x:row r="10" ht="21" customHeight="1">
      <x:c r="A10" s="44" t="str">
        <x:v>s2_3a</x:v>
      </x:c>
      <x:c r="B10" s="44" t="str">
        <x:v>GPT-6.1 Sol xhigh</x:v>
      </x:c>
      <x:c r="C10" s="45" t="n">
        <x:v>1.371</x:v>
      </x:c>
      <x:c r="D10" s="46" t="n">
        <x:v>98</x:v>
      </x:c>
    </x:row>
    <x:row r="11" ht="21" customHeight="1">
      <x:c r="A11" s="44" t="str">
        <x:v>s2_3b</x:v>
      </x:c>
      <x:c r="B11" s="44" t="str">
        <x:v>GPT-6.1 Sol max</x:v>
      </x:c>
      <x:c r="C11" s="45" t="n">
        <x:v>1.641</x:v>
      </x:c>
      <x:c r="D11" s="46" t="n">
        <x:v>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9.3800001144409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2.5" hidden="0" customWidth="1"/>
    <x:col min="9" max="9" width="12.5" hidden="0" customWidth="1"/>
    <x:col min="10" max="10" width="13.130000114440918" hidden="0" customWidth="1"/>
    <x:col min="11" max="11" width="15" hidden="0" customWidth="1"/>
    <x:col min="12" max="12" width="2.5" hidden="0" customWidth="1"/>
  </x:cols>
  <x:sheetData>
    <x:row r="1" ht="27.75" customHeight="1">
      <x:c r="A1" s="3" t="str">
        <x:v>三道理论物理研究题：完整表现与记录成本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1" customHeight="1">
      <x:c r="A2" s="4" t="str">
        <x:v>2026-09-30 · 10 个模型配置 × 3 题 = 30 项采用结果 · 每题 100 分 · 美元参考成本 · 三题等权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1" customHeight="1">
      <x:c r="A3" s="4" t="str">
        <x:v>分数沿用身份与用量揭晓前的评阅；新增 GPT-6.1 Sol xhigh / max，成本由参与者提供。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35" customHeight="1">
      <x:c r="A5" s="120" t="str">
        <x:v>模型配置</x:v>
      </x:c>
      <x:c r="B5" s="120" t="str">
        <x:v>第 1 题</x:v>
      </x:c>
      <x:c r="C5" s="120" t="str">
        <x:v>成本 USD</x:v>
      </x:c>
      <x:c r="D5" s="120" t="str">
        <x:v>第 2 题</x:v>
      </x:c>
      <x:c r="E5" s="120" t="str">
        <x:v>成本 USD</x:v>
      </x:c>
      <x:c r="F5" s="120" t="str">
        <x:v>第 3 题</x:v>
      </x:c>
      <x:c r="G5" s="120" t="str">
        <x:v>成本 USD</x:v>
      </x:c>
      <x:c r="H5" s="120" t="str">
        <x:v>总分 /300</x:v>
      </x:c>
      <x:c r="I5" s="120" t="str">
        <x:v>均分 /100</x:v>
      </x:c>
      <x:c r="J5" s="120" t="str">
        <x:v>总成本 USD</x:v>
      </x:c>
      <x:c r="K5" s="120" t="str">
        <x:v>最弱一题</x:v>
      </x:c>
      <x:c r="L5" s="2"/>
      <x:c r="M5" s="2"/>
      <x:c r="N5" s="2" t="str">
        <x:v>Model</x:v>
      </x:c>
      <x:c r="O5" s="2" t="str">
        <x:v>log10(USD)</x:v>
      </x:c>
      <x:c r="P5" s="2" t="str">
        <x:v>Score /100</x:v>
      </x:c>
      <x:c r="Q5" s="2"/>
      <x:c r="R5" s="2"/>
      <x:c r="S5" s="2"/>
      <x:c r="T5" s="2"/>
      <x:c r="U5" s="2"/>
      <x:c r="V5" s="2"/>
    </x:row>
    <x:row r="6" ht="21" customHeight="1">
      <x:c r="A6" s="2" t="str">
        <x:v>GPT-6.1 Sol max</x:v>
      </x:c>
      <x:c r="B6" s="12" t="n">
        <x:f>'Task 1'!D11</x:f>
        <x:v>97</x:v>
      </x:c>
      <x:c r="C6" s="20" t="n">
        <x:f>'Task 1'!C11</x:f>
        <x:v>1.795</x:v>
      </x:c>
      <x:c r="D6" s="12" t="n">
        <x:f>'Task 2'!D11</x:f>
        <x:v>98</x:v>
      </x:c>
      <x:c r="E6" s="20" t="n">
        <x:f>'Task 2'!C11</x:f>
        <x:v>1.14</x:v>
      </x:c>
      <x:c r="F6" s="12" t="n">
        <x:f>'Task 3'!D11</x:f>
        <x:v>99</x:v>
      </x:c>
      <x:c r="G6" s="20" t="n">
        <x:f>'Task 3'!C11</x:f>
        <x:v>1.641</x:v>
      </x:c>
      <x:c r="H6" s="12" t="n">
        <x:f>SUM(B6,D6,F6)</x:f>
        <x:v>294</x:v>
      </x:c>
      <x:c r="I6" s="23" t="n">
        <x:f>H6/3</x:f>
        <x:v>98</x:v>
      </x:c>
      <x:c r="J6" s="20" t="n">
        <x:f>SUM(C6,E6,G6)</x:f>
        <x:v>4.576</x:v>
      </x:c>
      <x:c r="K6" s="12" t="n">
        <x:f>MIN(B6,D6,F6)</x:f>
        <x:v>97</x:v>
      </x:c>
      <x:c r="L6" s="2"/>
      <x:c r="M6" s="2"/>
      <x:c r="N6" s="2" t="str">
        <x:v>GPT-6.1 Sol max</x:v>
      </x:c>
      <x:c r="O6" s="2" t="n">
        <x:f>LOG10(J6)</x:f>
        <x:v>0.660486015784968</x:v>
      </x:c>
      <x:c r="P6" s="2" t="n">
        <x:f>I6</x:f>
        <x:v>98</x:v>
      </x:c>
      <x:c r="Q6" s="2"/>
      <x:c r="R6" s="2"/>
      <x:c r="S6" s="2"/>
      <x:c r="T6" s="2"/>
      <x:c r="U6" s="2"/>
      <x:c r="V6" s="2"/>
    </x:row>
    <x:row r="7" ht="21" customHeight="1">
      <x:c r="A7" s="121" t="str">
        <x:v>GPT-6.1 Sol xhigh</x:v>
      </x:c>
      <x:c r="B7" s="122" t="n">
        <x:f>'Task 1'!D10</x:f>
        <x:v>95</x:v>
      </x:c>
      <x:c r="C7" s="125" t="n">
        <x:f>'Task 1'!C10</x:f>
        <x:v>1.612</x:v>
      </x:c>
      <x:c r="D7" s="122" t="n">
        <x:f>'Task 2'!D10</x:f>
        <x:v>98</x:v>
      </x:c>
      <x:c r="E7" s="125" t="n">
        <x:f>'Task 2'!C10</x:f>
        <x:v>1.111</x:v>
      </x:c>
      <x:c r="F7" s="122" t="n">
        <x:f>'Task 3'!D10</x:f>
        <x:v>98</x:v>
      </x:c>
      <x:c r="G7" s="125" t="n">
        <x:f>'Task 3'!C10</x:f>
        <x:v>1.371</x:v>
      </x:c>
      <x:c r="H7" s="122" t="n">
        <x:f>SUM(B7,D7,F7)</x:f>
        <x:v>291</x:v>
      </x:c>
      <x:c r="I7" s="127" t="n">
        <x:f>H7/3</x:f>
        <x:v>97</x:v>
      </x:c>
      <x:c r="J7" s="125" t="n">
        <x:f>SUM(C7,E7,G7)</x:f>
        <x:v>4.093999999999999</x:v>
      </x:c>
      <x:c r="K7" s="122" t="n">
        <x:f>MIN(B7,D7,F7)</x:f>
        <x:v>95</x:v>
      </x:c>
      <x:c r="L7" s="2"/>
      <x:c r="M7" s="2"/>
      <x:c r="N7" s="2" t="str">
        <x:v>GPT-6.1 Sol xhigh</x:v>
      </x:c>
      <x:c r="O7" s="2" t="n">
        <x:f>LOG10(J7)</x:f>
        <x:v>0.612147838326487</x:v>
      </x:c>
      <x:c r="P7" s="2" t="n">
        <x:f>I7</x:f>
        <x:v>97</x:v>
      </x:c>
      <x:c r="Q7" s="2"/>
      <x:c r="R7" s="2"/>
      <x:c r="S7" s="2"/>
      <x:c r="T7" s="2"/>
      <x:c r="U7" s="2"/>
      <x:c r="V7" s="2"/>
    </x:row>
    <x:row r="8" ht="21" customHeight="1">
      <x:c r="A8" s="2" t="str">
        <x:v>GPT-6 Astra high</x:v>
      </x:c>
      <x:c r="B8" s="12" t="n">
        <x:f>'Task 1'!D3</x:f>
        <x:v>92</x:v>
      </x:c>
      <x:c r="C8" s="20" t="n">
        <x:f>'Task 1'!C3</x:f>
        <x:v>5.614</x:v>
      </x:c>
      <x:c r="D8" s="12" t="n">
        <x:f>'Task 2'!D6</x:f>
        <x:v>97</x:v>
      </x:c>
      <x:c r="E8" s="20" t="n">
        <x:f>'Task 2'!C6</x:f>
        <x:v>4.55</x:v>
      </x:c>
      <x:c r="F8" s="12" t="n">
        <x:f>'Task 3'!D6</x:f>
        <x:v>98</x:v>
      </x:c>
      <x:c r="G8" s="20" t="n">
        <x:f>'Task 3'!C6</x:f>
        <x:v>4.206</x:v>
      </x:c>
      <x:c r="H8" s="12" t="n">
        <x:f>SUM(B8,D8,F8)</x:f>
        <x:v>287</x:v>
      </x:c>
      <x:c r="I8" s="23" t="n">
        <x:f>H8/3</x:f>
        <x:v>95.66666666666667</x:v>
      </x:c>
      <x:c r="J8" s="20" t="n">
        <x:f>SUM(C8,E8,G8)</x:f>
        <x:v>14.370000000000001</x:v>
      </x:c>
      <x:c r="K8" s="12" t="n">
        <x:f>MIN(B8,D8,F8)</x:f>
        <x:v>92</x:v>
      </x:c>
      <x:c r="L8" s="2"/>
      <x:c r="M8" s="2"/>
      <x:c r="N8" s="2" t="str">
        <x:v>GPT-6 Astra high</x:v>
      </x:c>
      <x:c r="O8" s="2" t="n">
        <x:f>LOG10(J8)</x:f>
        <x:v>1.15745676813423</x:v>
      </x:c>
      <x:c r="P8" s="2" t="n">
        <x:f>I8</x:f>
        <x:v>95.66666666666667</x:v>
      </x:c>
      <x:c r="Q8" s="2"/>
      <x:c r="R8" s="2"/>
      <x:c r="S8" s="2"/>
      <x:c r="T8" s="2"/>
      <x:c r="U8" s="2"/>
      <x:c r="V8" s="2"/>
    </x:row>
    <x:row r="9" ht="21" customHeight="1">
      <x:c r="A9" s="121" t="str">
        <x:v>GPT-6 Sol max</x:v>
      </x:c>
      <x:c r="B9" s="122" t="n">
        <x:f>'Task 1'!D7</x:f>
        <x:v>94</x:v>
      </x:c>
      <x:c r="C9" s="125" t="n">
        <x:f>'Task 1'!C7</x:f>
        <x:v>4.118</x:v>
      </x:c>
      <x:c r="D9" s="122" t="n">
        <x:f>'Task 2'!D4</x:f>
        <x:v>94</x:v>
      </x:c>
      <x:c r="E9" s="125" t="n">
        <x:f>'Task 2'!C4</x:f>
        <x:v>1.814</x:v>
      </x:c>
      <x:c r="F9" s="122" t="n">
        <x:f>'Task 3'!D4</x:f>
        <x:v>95</x:v>
      </x:c>
      <x:c r="G9" s="125" t="n">
        <x:f>'Task 3'!C4</x:f>
        <x:v>2.32</x:v>
      </x:c>
      <x:c r="H9" s="122" t="n">
        <x:f>SUM(B9,D9,F9)</x:f>
        <x:v>283</x:v>
      </x:c>
      <x:c r="I9" s="127" t="n">
        <x:f>H9/3</x:f>
        <x:v>94.33333333333333</x:v>
      </x:c>
      <x:c r="J9" s="125" t="n">
        <x:f>SUM(C9,E9,G9)</x:f>
        <x:v>8.252</x:v>
      </x:c>
      <x:c r="K9" s="122" t="n">
        <x:f>MIN(B9,D9,F9)</x:f>
        <x:v>94</x:v>
      </x:c>
      <x:c r="L9" s="2"/>
      <x:c r="M9" s="2"/>
      <x:c r="N9" s="2" t="str">
        <x:v>GPT-6 Sol max</x:v>
      </x:c>
      <x:c r="O9" s="2" t="n">
        <x:f>LOG10(J9)</x:f>
        <x:v>0.916559219301114</x:v>
      </x:c>
      <x:c r="P9" s="2" t="n">
        <x:f>I9</x:f>
        <x:v>94.33333333333333</x:v>
      </x:c>
      <x:c r="Q9" s="2"/>
      <x:c r="R9" s="2"/>
      <x:c r="S9" s="2"/>
      <x:c r="T9" s="2"/>
      <x:c r="U9" s="2"/>
      <x:c r="V9" s="2"/>
    </x:row>
    <x:row r="10" ht="21" customHeight="1">
      <x:c r="A10" s="2" t="str">
        <x:v>Opus 5.5 xhigh</x:v>
      </x:c>
      <x:c r="B10" s="12" t="n">
        <x:f>'Task 1'!D6</x:f>
        <x:v>87</x:v>
      </x:c>
      <x:c r="C10" s="20" t="n">
        <x:f>'Task 1'!C6</x:f>
        <x:v>24.056</x:v>
      </x:c>
      <x:c r="D10" s="12" t="n">
        <x:f>'Task 2'!D8</x:f>
        <x:v>93</x:v>
      </x:c>
      <x:c r="E10" s="20" t="n">
        <x:f>'Task 2'!C8</x:f>
        <x:v>12.33</x:v>
      </x:c>
      <x:c r="F10" s="12" t="n">
        <x:f>'Task 3'!D8</x:f>
        <x:v>81</x:v>
      </x:c>
      <x:c r="G10" s="20" t="n">
        <x:f>'Task 3'!C8</x:f>
        <x:v>14.384</x:v>
      </x:c>
      <x:c r="H10" s="12" t="n">
        <x:f>SUM(B10,D10,F10)</x:f>
        <x:v>261</x:v>
      </x:c>
      <x:c r="I10" s="23" t="n">
        <x:f>H10/3</x:f>
        <x:v>87</x:v>
      </x:c>
      <x:c r="J10" s="20" t="n">
        <x:f>SUM(C10,E10,G10)</x:f>
        <x:v>50.77</x:v>
      </x:c>
      <x:c r="K10" s="12" t="n">
        <x:f>MIN(B10,D10,F10)</x:f>
        <x:v>81</x:v>
      </x:c>
      <x:c r="L10" s="2"/>
      <x:c r="M10" s="2"/>
      <x:c r="N10" s="2" t="str">
        <x:v>Opus 5.5 xhigh</x:v>
      </x:c>
      <x:c r="O10" s="2" t="n">
        <x:f>LOG10(J10)</x:f>
        <x:v>1.7056071634046</x:v>
      </x:c>
      <x:c r="P10" s="2" t="n">
        <x:f>I10</x:f>
        <x:v>87</x:v>
      </x:c>
      <x:c r="Q10" s="2"/>
      <x:c r="R10" s="2"/>
      <x:c r="S10" s="2"/>
      <x:c r="T10" s="2"/>
      <x:c r="U10" s="2"/>
      <x:c r="V10" s="2"/>
    </x:row>
    <x:row r="11" ht="21" customHeight="1">
      <x:c r="A11" s="121" t="str">
        <x:v>GPT-6 Sol xhigh</x:v>
      </x:c>
      <x:c r="B11" s="122" t="n">
        <x:f>'Task 1'!D4</x:f>
        <x:v>54</x:v>
      </x:c>
      <x:c r="C11" s="125" t="n">
        <x:f>'Task 1'!C4</x:f>
        <x:v>2.386</x:v>
      </x:c>
      <x:c r="D11" s="122" t="n">
        <x:f>'Task 2'!D5</x:f>
        <x:v>92</x:v>
      </x:c>
      <x:c r="E11" s="125" t="n">
        <x:f>'Task 2'!C5</x:f>
        <x:v>2.155</x:v>
      </x:c>
      <x:c r="F11" s="122" t="n">
        <x:f>'Task 3'!D5</x:f>
        <x:v>90</x:v>
      </x:c>
      <x:c r="G11" s="125" t="n">
        <x:f>'Task 3'!C5</x:f>
        <x:v>1.643</x:v>
      </x:c>
      <x:c r="H11" s="122" t="n">
        <x:f>SUM(B11,D11,F11)</x:f>
        <x:v>236</x:v>
      </x:c>
      <x:c r="I11" s="127" t="n">
        <x:f>H11/3</x:f>
        <x:v>78.66666666666667</x:v>
      </x:c>
      <x:c r="J11" s="125" t="n">
        <x:f>SUM(C11,E11,G11)</x:f>
        <x:v>6.184</x:v>
      </x:c>
      <x:c r="K11" s="122" t="n">
        <x:f>MIN(B11,D11,F11)</x:f>
        <x:v>54</x:v>
      </x:c>
      <x:c r="L11" s="2"/>
      <x:c r="M11" s="2"/>
      <x:c r="N11" s="2" t="str">
        <x:v>GPT-6 Sol xhigh</x:v>
      </x:c>
      <x:c r="O11" s="2" t="n">
        <x:f>LOG10(J11)</x:f>
        <x:v>0.791269480910268</x:v>
      </x:c>
      <x:c r="P11" s="2" t="n">
        <x:f>I11</x:f>
        <x:v>78.66666666666667</x:v>
      </x:c>
      <x:c r="Q11" s="2"/>
      <x:c r="R11" s="2"/>
      <x:c r="S11" s="2"/>
      <x:c r="T11" s="2"/>
      <x:c r="U11" s="2"/>
      <x:c r="V11" s="2"/>
    </x:row>
    <x:row r="12" ht="21" customHeight="1">
      <x:c r="A12" s="2" t="str">
        <x:v>GPT-5.6 Sol xhigh</x:v>
      </x:c>
      <x:c r="B12" s="12" t="n">
        <x:f>'Task 1'!D2</x:f>
        <x:v>57</x:v>
      </x:c>
      <x:c r="C12" s="20" t="n">
        <x:f>'Task 1'!C2</x:f>
        <x:v>4.082</x:v>
      </x:c>
      <x:c r="D12" s="12" t="n">
        <x:f>'Task 2'!D2</x:f>
        <x:v>87</x:v>
      </x:c>
      <x:c r="E12" s="20" t="n">
        <x:f>'Task 2'!C2</x:f>
        <x:v>2.763</x:v>
      </x:c>
      <x:c r="F12" s="12" t="n">
        <x:f>'Task 3'!D2</x:f>
        <x:v>82</x:v>
      </x:c>
      <x:c r="G12" s="20" t="n">
        <x:f>'Task 3'!C2</x:f>
        <x:v>13.96</x:v>
      </x:c>
      <x:c r="H12" s="12" t="n">
        <x:f>SUM(B12,D12,F12)</x:f>
        <x:v>226</x:v>
      </x:c>
      <x:c r="I12" s="23" t="n">
        <x:f>H12/3</x:f>
        <x:v>75.33333333333333</x:v>
      </x:c>
      <x:c r="J12" s="20" t="n">
        <x:f>SUM(C12,E12,G12)</x:f>
        <x:v>20.805</x:v>
      </x:c>
      <x:c r="K12" s="12" t="n">
        <x:f>MIN(B12,D12,F12)</x:f>
        <x:v>57</x:v>
      </x:c>
      <x:c r="L12" s="2"/>
      <x:c r="M12" s="2"/>
      <x:c r="N12" s="2" t="str">
        <x:v>GPT-5.6 Sol xhigh</x:v>
      </x:c>
      <x:c r="O12" s="2" t="n">
        <x:f>LOG10(J12)</x:f>
        <x:v>1.31816772012897</x:v>
      </x:c>
      <x:c r="P12" s="2" t="n">
        <x:f>I12</x:f>
        <x:v>75.33333333333333</x:v>
      </x:c>
      <x:c r="Q12" s="2"/>
      <x:c r="R12" s="2"/>
      <x:c r="S12" s="2"/>
      <x:c r="T12" s="2"/>
      <x:c r="U12" s="2"/>
      <x:c r="V12" s="2"/>
    </x:row>
    <x:row r="13" ht="21" customHeight="1">
      <x:c r="A13" s="121" t="str">
        <x:v>GPT-6 Luna max</x:v>
      </x:c>
      <x:c r="B13" s="122" t="n">
        <x:f>'Task 1'!D8</x:f>
        <x:v>53</x:v>
      </x:c>
      <x:c r="C13" s="125" t="n">
        <x:f>'Task 1'!C8</x:f>
        <x:v>0.178</x:v>
      </x:c>
      <x:c r="D13" s="122" t="n">
        <x:f>'Task 2'!D3</x:f>
        <x:v>86</x:v>
      </x:c>
      <x:c r="E13" s="125" t="n">
        <x:f>'Task 2'!C3</x:f>
        <x:v>0.143</x:v>
      </x:c>
      <x:c r="F13" s="122" t="n">
        <x:f>'Task 3'!D3</x:f>
        <x:v>76</x:v>
      </x:c>
      <x:c r="G13" s="125" t="n">
        <x:f>'Task 3'!C3</x:f>
        <x:v>0.143</x:v>
      </x:c>
      <x:c r="H13" s="122" t="n">
        <x:f>SUM(B13,D13,F13)</x:f>
        <x:v>215</x:v>
      </x:c>
      <x:c r="I13" s="127" t="n">
        <x:f>H13/3</x:f>
        <x:v>71.66666666666667</x:v>
      </x:c>
      <x:c r="J13" s="125" t="n">
        <x:f>SUM(C13,E13,G13)</x:f>
        <x:v>0.46399999999999997</x:v>
      </x:c>
      <x:c r="K13" s="122" t="n">
        <x:f>MIN(B13,D13,F13)</x:f>
        <x:v>53</x:v>
      </x:c>
      <x:c r="L13" s="2"/>
      <x:c r="M13" s="2"/>
      <x:c r="N13" s="2" t="str">
        <x:v>GPT-6 Luna max</x:v>
      </x:c>
      <x:c r="O13" s="2" t="n">
        <x:f>LOG10(J13)</x:f>
        <x:v>-0.333482019445119</x:v>
      </x:c>
      <x:c r="P13" s="2" t="n">
        <x:f>I13</x:f>
        <x:v>71.66666666666667</x:v>
      </x:c>
      <x:c r="Q13" s="2"/>
      <x:c r="R13" s="2"/>
      <x:c r="S13" s="2"/>
      <x:c r="T13" s="2"/>
      <x:c r="U13" s="2"/>
      <x:c r="V13" s="2"/>
    </x:row>
    <x:row r="14" ht="21" customHeight="1">
      <x:c r="A14" s="2" t="str">
        <x:v>DeepSeek V4.1 Flash max</x:v>
      </x:c>
      <x:c r="B14" s="12" t="n">
        <x:f>'Task 1'!D9</x:f>
        <x:v>47</x:v>
      </x:c>
      <x:c r="C14" s="20" t="n">
        <x:f>'Task 1'!C9</x:f>
        <x:v>0.414</x:v>
      </x:c>
      <x:c r="D14" s="12" t="n">
        <x:f>'Task 2'!D9</x:f>
        <x:v>75</x:v>
      </x:c>
      <x:c r="E14" s="20" t="n">
        <x:f>'Task 2'!C9</x:f>
        <x:v>0.43</x:v>
      </x:c>
      <x:c r="F14" s="12" t="n">
        <x:f>'Task 3'!D9</x:f>
        <x:v>54</x:v>
      </x:c>
      <x:c r="G14" s="20" t="n">
        <x:f>'Task 3'!C9</x:f>
        <x:v>0.477</x:v>
      </x:c>
      <x:c r="H14" s="12" t="n">
        <x:f>SUM(B14,D14,F14)</x:f>
        <x:v>176</x:v>
      </x:c>
      <x:c r="I14" s="23" t="n">
        <x:f>H14/3</x:f>
        <x:v>58.666666666666664</x:v>
      </x:c>
      <x:c r="J14" s="20" t="n">
        <x:f>SUM(C14,E14,G14)</x:f>
        <x:v>1.321</x:v>
      </x:c>
      <x:c r="K14" s="12" t="n">
        <x:f>MIN(B14,D14,F14)</x:f>
        <x:v>47</x:v>
      </x:c>
      <x:c r="L14" s="2"/>
      <x:c r="M14" s="2"/>
      <x:c r="N14" s="2" t="str">
        <x:v>DeepSeek V4.1 Flash max</x:v>
      </x:c>
      <x:c r="O14" s="2" t="n">
        <x:f>LOG10(J14)</x:f>
        <x:v>0.120902817614527</x:v>
      </x:c>
      <x:c r="P14" s="2" t="n">
        <x:f>I14</x:f>
        <x:v>58.666666666666664</x:v>
      </x:c>
      <x:c r="Q14" s="2"/>
      <x:c r="R14" s="2"/>
      <x:c r="S14" s="2"/>
      <x:c r="T14" s="2"/>
      <x:c r="U14" s="2"/>
      <x:c r="V14" s="2"/>
    </x:row>
    <x:row r="15" ht="21" customHeight="1">
      <x:c r="A15" s="123" t="str">
        <x:v>Grok 4.7 high</x:v>
      </x:c>
      <x:c r="B15" s="124" t="n">
        <x:f>'Task 1'!D5</x:f>
        <x:v>30</x:v>
      </x:c>
      <x:c r="C15" s="126" t="n">
        <x:f>'Task 1'!C5</x:f>
        <x:v>4.514</x:v>
      </x:c>
      <x:c r="D15" s="124" t="n">
        <x:f>'Task 2'!D7</x:f>
        <x:v>69</x:v>
      </x:c>
      <x:c r="E15" s="126" t="n">
        <x:f>'Task 2'!C7</x:f>
        <x:v>4.274</x:v>
      </x:c>
      <x:c r="F15" s="124" t="n">
        <x:f>'Task 3'!D7</x:f>
        <x:v>70</x:v>
      </x:c>
      <x:c r="G15" s="126" t="n">
        <x:f>'Task 3'!C7</x:f>
        <x:v>5.888</x:v>
      </x:c>
      <x:c r="H15" s="124" t="n">
        <x:f>SUM(B15,D15,F15)</x:f>
        <x:v>169</x:v>
      </x:c>
      <x:c r="I15" s="128" t="n">
        <x:f>H15/3</x:f>
        <x:v>56.333333333333336</x:v>
      </x:c>
      <x:c r="J15" s="126" t="n">
        <x:f>SUM(C15,E15,G15)</x:f>
        <x:v>14.676</x:v>
      </x:c>
      <x:c r="K15" s="124" t="n">
        <x:f>MIN(B15,D15,F15)</x:f>
        <x:v>30</x:v>
      </x:c>
      <x:c r="L15" s="2"/>
      <x:c r="M15" s="2"/>
      <x:c r="N15" s="2" t="str">
        <x:v>Grok 4.7 high</x:v>
      </x:c>
      <x:c r="O15" s="2" t="n">
        <x:f>LOG10(J15)</x:f>
        <x:v>1.16660770308391</x:v>
      </x:c>
      <x:c r="P15" s="2" t="n">
        <x:f>I15</x:f>
        <x:v>56.333333333333336</x:v>
      </x:c>
      <x:c r="Q15" s="2"/>
      <x:c r="R15" s="2"/>
      <x:c r="S15" s="2"/>
      <x:c r="T15" s="2"/>
      <x:c r="U15" s="2"/>
      <x:c r="V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24" customHeight="1">
      <x:c r="A18" s="27" t="str">
        <x:v>三题综合比较与成本—得分前沿</x:v>
      </x:c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"/>
      <x:c r="M18" s="2"/>
      <x:c r="N18" s="2" t="str">
        <x:v>Model</x:v>
      </x:c>
      <x:c r="O18" s="2" t="str">
        <x:v>log10(USD)</x:v>
      </x:c>
      <x:c r="P18" s="2" t="str">
        <x:v>Score /100</x:v>
      </x:c>
      <x:c r="Q18" s="2"/>
      <x:c r="R18" s="2"/>
      <x:c r="S18" s="2"/>
      <x:c r="T18" s="2"/>
      <x:c r="U18" s="2"/>
      <x:c r="V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 t="str">
        <x:v>GPT-6.1 Sol max</x:v>
      </x:c>
      <x:c r="O19" s="2" t="n">
        <x:f>LOG10('Task 1'!C11)</x:f>
        <x:v>0.254064452914338</x:v>
      </x:c>
      <x:c r="P19" s="2" t="n">
        <x:f>'Task 1'!D11</x:f>
        <x:v>97</x:v>
      </x:c>
      <x:c r="Q19" s="2"/>
      <x:c r="R19" s="2"/>
      <x:c r="S19" s="2"/>
      <x:c r="T19" s="2"/>
      <x:c r="U19" s="2"/>
      <x:c r="V19" s="2"/>
    </x:row>
    <x:row r="20" ht="35" customHeight="1">
      <x:c r="A20" s="120" t="str">
        <x:v>模型配置</x:v>
      </x:c>
      <x:c r="B20" s="120" t="str">
        <x:v>排名</x:v>
      </x:c>
      <x:c r="C20" s="120" t="str">
        <x:v>总分 /300</x:v>
      </x:c>
      <x:c r="D20" s="120" t="str">
        <x:v>均分 /100</x:v>
      </x:c>
      <x:c r="E20" s="120" t="str">
        <x:v>总成本 USD</x:v>
      </x:c>
      <x:c r="F20" s="120" t="str">
        <x:v>总分 /USD</x:v>
      </x:c>
      <x:c r="G20" s="120" t="str">
        <x:v>评阅下限</x:v>
      </x:c>
      <x:c r="H20" s="120" t="str">
        <x:v>评阅上限</x:v>
      </x:c>
      <x:c r="I20" s="120" t="str">
        <x:v>成本—得分</x:v>
      </x:c>
      <x:c r="J20" s="120" t="str">
        <x:v>最弱一题</x:v>
      </x:c>
      <x:c r="K20" s="120" t="str">
        <x:v>≥80 分题数</x:v>
      </x:c>
      <x:c r="L20" s="2"/>
      <x:c r="M20" s="2"/>
      <x:c r="N20" s="2" t="str">
        <x:v>GPT-6.1 Sol xhigh</x:v>
      </x:c>
      <x:c r="O20" s="2" t="n">
        <x:f>LOG10('Task 1'!C10)</x:f>
        <x:v>0.207365037469072</x:v>
      </x:c>
      <x:c r="P20" s="2" t="n">
        <x:f>'Task 1'!D10</x:f>
        <x:v>95</x:v>
      </x:c>
      <x:c r="Q20" s="2"/>
      <x:c r="R20" s="2"/>
      <x:c r="S20" s="2"/>
      <x:c r="T20" s="2"/>
      <x:c r="U20" s="2"/>
      <x:c r="V20" s="2"/>
    </x:row>
    <x:row r="21" ht="21" customHeight="1">
      <x:c r="A21" s="2" t="str">
        <x:v>GPT-6.1 Sol max</x:v>
      </x:c>
      <x:c r="B21" s="12" t="n">
        <x:f>RANK(C21,$C$21:$C$30,0)</x:f>
        <x:v>1</x:v>
      </x:c>
      <x:c r="C21" s="12" t="n">
        <x:f>H6</x:f>
        <x:v>294</x:v>
      </x:c>
      <x:c r="D21" s="23" t="n">
        <x:f>I6</x:f>
        <x:v>98</x:v>
      </x:c>
      <x:c r="E21" s="20" t="n">
        <x:f>J6</x:f>
        <x:v>4.576</x:v>
      </x:c>
      <x:c r="F21" s="23" t="n">
        <x:f>C21/E21</x:f>
        <x:v>64.24825174825175</x:v>
      </x:c>
      <x:c r="G21" s="23" t="n">
        <x:f>AVERAGE(I147,I157,I167)</x:f>
        <x:v>94.66666666666667</x:v>
      </x:c>
      <x:c r="H21" s="23" t="n">
        <x:f>AVERAGE(J147,J157,J167)</x:f>
        <x:v>99.66666666666667</x:v>
      </x:c>
      <x:c r="I21" s="12" t="str">
        <x:f>IF(COUNTIFS($E$21:$E$30,"&lt;="&amp;E21,$C$21:$C$30,"&gt;="&amp;C21)-COUNTIFS($E$21:$E$30,E21,$C$21:$C$30,C21)&gt;0,"被支配","前沿")</x:f>
        <x:v>前沿</x:v>
      </x:c>
      <x:c r="J21" s="12" t="n">
        <x:f>K6</x:f>
        <x:v>97</x:v>
      </x:c>
      <x:c r="K21" s="12" t="n">
        <x:f>COUNTIF(B6,"&gt;=80")+COUNTIF(D6,"&gt;=80")+COUNTIF(F6,"&gt;=80")</x:f>
        <x:v>3</x:v>
      </x:c>
      <x:c r="L21" s="2"/>
      <x:c r="M21" s="2"/>
      <x:c r="N21" s="2" t="str">
        <x:v>GPT-6 Sol max</x:v>
      </x:c>
      <x:c r="O21" s="2" t="n">
        <x:f>LOG10('Task 1'!C7)</x:f>
        <x:v>0.614686342282013</x:v>
      </x:c>
      <x:c r="P21" s="2" t="n">
        <x:f>'Task 1'!D7</x:f>
        <x:v>94</x:v>
      </x:c>
      <x:c r="Q21" s="2"/>
      <x:c r="R21" s="2"/>
      <x:c r="S21" s="2"/>
      <x:c r="T21" s="2"/>
      <x:c r="U21" s="2"/>
      <x:c r="V21" s="2"/>
    </x:row>
    <x:row r="22" ht="21" customHeight="1">
      <x:c r="A22" s="121" t="str">
        <x:v>GPT-6.1 Sol xhigh</x:v>
      </x:c>
      <x:c r="B22" s="122" t="n">
        <x:f>RANK(C22,$C$21:$C$30,0)</x:f>
        <x:v>2</x:v>
      </x:c>
      <x:c r="C22" s="122" t="n">
        <x:f>H7</x:f>
        <x:v>291</x:v>
      </x:c>
      <x:c r="D22" s="127" t="n">
        <x:f>I7</x:f>
        <x:v>97</x:v>
      </x:c>
      <x:c r="E22" s="125" t="n">
        <x:f>J7</x:f>
        <x:v>4.093999999999999</x:v>
      </x:c>
      <x:c r="F22" s="127" t="n">
        <x:f>C22/E22</x:f>
        <x:v>71.07962872496337</x:v>
      </x:c>
      <x:c r="G22" s="127" t="n">
        <x:f>AVERAGE(I146,I156,I166)</x:f>
        <x:v>93.66666666666667</x:v>
      </x:c>
      <x:c r="H22" s="127" t="n">
        <x:f>AVERAGE(J146,J156,J166)</x:f>
        <x:v>99.33333333333333</x:v>
      </x:c>
      <x:c r="I22" s="122" t="str">
        <x:f>IF(COUNTIFS($E$21:$E$30,"&lt;="&amp;E22,$C$21:$C$30,"&gt;="&amp;C22)-COUNTIFS($E$21:$E$30,E22,$C$21:$C$30,C22)&gt;0,"被支配","前沿")</x:f>
        <x:v>前沿</x:v>
      </x:c>
      <x:c r="J22" s="122" t="n">
        <x:f>K7</x:f>
        <x:v>95</x:v>
      </x:c>
      <x:c r="K22" s="122" t="n">
        <x:f>COUNTIF(B7,"&gt;=80")+COUNTIF(D7,"&gt;=80")+COUNTIF(F7,"&gt;=80")</x:f>
        <x:v>3</x:v>
      </x:c>
      <x:c r="L22" s="2"/>
      <x:c r="M22" s="2"/>
      <x:c r="N22" s="2" t="str">
        <x:v>GPT-6 Astra high</x:v>
      </x:c>
      <x:c r="O22" s="2" t="n">
        <x:f>LOG10('Task 1'!C3)</x:f>
        <x:v>0.74927240829842</x:v>
      </x:c>
      <x:c r="P22" s="2" t="n">
        <x:f>'Task 1'!D3</x:f>
        <x:v>92</x:v>
      </x:c>
      <x:c r="Q22" s="2"/>
      <x:c r="R22" s="2"/>
      <x:c r="S22" s="2"/>
      <x:c r="T22" s="2"/>
      <x:c r="U22" s="2"/>
      <x:c r="V22" s="2"/>
    </x:row>
    <x:row r="23" ht="21" customHeight="1">
      <x:c r="A23" s="2" t="str">
        <x:v>GPT-6 Astra high</x:v>
      </x:c>
      <x:c r="B23" s="12" t="n">
        <x:f>RANK(C23,$C$21:$C$30,0)</x:f>
        <x:v>3</x:v>
      </x:c>
      <x:c r="C23" s="12" t="n">
        <x:f>H8</x:f>
        <x:v>287</x:v>
      </x:c>
      <x:c r="D23" s="23" t="n">
        <x:f>I8</x:f>
        <x:v>95.66666666666667</x:v>
      </x:c>
      <x:c r="E23" s="20" t="n">
        <x:f>J8</x:f>
        <x:v>14.370000000000001</x:v>
      </x:c>
      <x:c r="F23" s="23" t="n">
        <x:f>C23/E23</x:f>
        <x:v>19.97216423103688</x:v>
      </x:c>
      <x:c r="G23" s="23" t="n">
        <x:f>AVERAGE(I139,I152,I162)</x:f>
        <x:v>92</x:v>
      </x:c>
      <x:c r="H23" s="23" t="n">
        <x:f>AVERAGE(J139,J152,J162)</x:f>
        <x:v>97.66666666666667</x:v>
      </x:c>
      <x:c r="I23" s="12" t="str">
        <x:f>IF(COUNTIFS($E$21:$E$30,"&lt;="&amp;E23,$C$21:$C$30,"&gt;="&amp;C23)-COUNTIFS($E$21:$E$30,E23,$C$21:$C$30,C23)&gt;0,"被支配","前沿")</x:f>
        <x:v>被支配</x:v>
      </x:c>
      <x:c r="J23" s="12" t="n">
        <x:f>K8</x:f>
        <x:v>92</x:v>
      </x:c>
      <x:c r="K23" s="12" t="n">
        <x:f>COUNTIF(B8,"&gt;=80")+COUNTIF(D8,"&gt;=80")+COUNTIF(F8,"&gt;=80")</x:f>
        <x:v>3</x:v>
      </x:c>
      <x:c r="L23" s="2"/>
      <x:c r="M23" s="2"/>
      <x:c r="N23" s="2" t="str">
        <x:v>Opus 5.5 xhigh</x:v>
      </x:c>
      <x:c r="O23" s="2" t="n">
        <x:f>LOG10('Task 1'!C6)</x:f>
        <x:v>1.38122341509246</x:v>
      </x:c>
      <x:c r="P23" s="2" t="n">
        <x:f>'Task 1'!D6</x:f>
        <x:v>87</x:v>
      </x:c>
      <x:c r="Q23" s="2"/>
      <x:c r="R23" s="2"/>
      <x:c r="S23" s="2"/>
      <x:c r="T23" s="2"/>
      <x:c r="U23" s="2"/>
      <x:c r="V23" s="2"/>
    </x:row>
    <x:row r="24" ht="21" customHeight="1">
      <x:c r="A24" s="121" t="str">
        <x:v>GPT-6 Sol max</x:v>
      </x:c>
      <x:c r="B24" s="122" t="n">
        <x:f>RANK(C24,$C$21:$C$30,0)</x:f>
        <x:v>4</x:v>
      </x:c>
      <x:c r="C24" s="122" t="n">
        <x:f>H9</x:f>
        <x:v>283</x:v>
      </x:c>
      <x:c r="D24" s="127" t="n">
        <x:f>I9</x:f>
        <x:v>94.33333333333333</x:v>
      </x:c>
      <x:c r="E24" s="125" t="n">
        <x:f>J9</x:f>
        <x:v>8.252</x:v>
      </x:c>
      <x:c r="F24" s="127" t="n">
        <x:f>C24/E24</x:f>
        <x:v>34.29471643238003</x:v>
      </x:c>
      <x:c r="G24" s="127" t="n">
        <x:f>AVERAGE(I143,I150,I160)</x:f>
        <x:v>90.66666666666667</x:v>
      </x:c>
      <x:c r="H24" s="127" t="n">
        <x:f>AVERAGE(J143,J150,J160)</x:f>
        <x:v>97.33333333333333</x:v>
      </x:c>
      <x:c r="I24" s="122" t="str">
        <x:f>IF(COUNTIFS($E$21:$E$30,"&lt;="&amp;E24,$C$21:$C$30,"&gt;="&amp;C24)-COUNTIFS($E$21:$E$30,E24,$C$21:$C$30,C24)&gt;0,"被支配","前沿")</x:f>
        <x:v>被支配</x:v>
      </x:c>
      <x:c r="J24" s="122" t="n">
        <x:f>K9</x:f>
        <x:v>94</x:v>
      </x:c>
      <x:c r="K24" s="122" t="n">
        <x:f>COUNTIF(B9,"&gt;=80")+COUNTIF(D9,"&gt;=80")+COUNTIF(F9,"&gt;=80")</x:f>
        <x:v>3</x:v>
      </x:c>
      <x:c r="L24" s="2"/>
      <x:c r="M24" s="2"/>
      <x:c r="N24" s="2" t="str">
        <x:v>GPT-5.6 Sol xhigh</x:v>
      </x:c>
      <x:c r="O24" s="2" t="n">
        <x:f>LOG10('Task 1'!C2)</x:f>
        <x:v>0.610873000380052</x:v>
      </x:c>
      <x:c r="P24" s="2" t="n">
        <x:f>'Task 1'!D2</x:f>
        <x:v>57</x:v>
      </x:c>
      <x:c r="Q24" s="2"/>
      <x:c r="R24" s="2"/>
      <x:c r="S24" s="2"/>
      <x:c r="T24" s="2"/>
      <x:c r="U24" s="2"/>
      <x:c r="V24" s="2"/>
    </x:row>
    <x:row r="25" ht="21" customHeight="1">
      <x:c r="A25" s="2" t="str">
        <x:v>Opus 5.5 xhigh</x:v>
      </x:c>
      <x:c r="B25" s="12" t="n">
        <x:f>RANK(C25,$C$21:$C$30,0)</x:f>
        <x:v>5</x:v>
      </x:c>
      <x:c r="C25" s="12" t="n">
        <x:f>H10</x:f>
        <x:v>261</x:v>
      </x:c>
      <x:c r="D25" s="23" t="n">
        <x:f>I10</x:f>
        <x:v>87</x:v>
      </x:c>
      <x:c r="E25" s="20" t="n">
        <x:f>J10</x:f>
        <x:v>50.77</x:v>
      </x:c>
      <x:c r="F25" s="23" t="n">
        <x:f>C25/E25</x:f>
        <x:v>5.1408311995272795</x:v>
      </x:c>
      <x:c r="G25" s="23" t="n">
        <x:f>AVERAGE(I142,I154,I164)</x:f>
        <x:v>82</x:v>
      </x:c>
      <x:c r="H25" s="23" t="n">
        <x:f>AVERAGE(J142,J154,J164)</x:f>
        <x:v>91.66666666666667</x:v>
      </x:c>
      <x:c r="I25" s="12" t="str">
        <x:f>IF(COUNTIFS($E$21:$E$30,"&lt;="&amp;E25,$C$21:$C$30,"&gt;="&amp;C25)-COUNTIFS($E$21:$E$30,E25,$C$21:$C$30,C25)&gt;0,"被支配","前沿")</x:f>
        <x:v>被支配</x:v>
      </x:c>
      <x:c r="J25" s="12" t="n">
        <x:f>K10</x:f>
        <x:v>81</x:v>
      </x:c>
      <x:c r="K25" s="12" t="n">
        <x:f>COUNTIF(B10,"&gt;=80")+COUNTIF(D10,"&gt;=80")+COUNTIF(F10,"&gt;=80")</x:f>
        <x:v>3</x:v>
      </x:c>
      <x:c r="L25" s="2"/>
      <x:c r="M25" s="2"/>
      <x:c r="N25" s="2" t="str">
        <x:v>GPT-6 Sol xhigh</x:v>
      </x:c>
      <x:c r="O25" s="2" t="n">
        <x:f>LOG10('Task 1'!C4)</x:f>
        <x:v>0.377670439334323</x:v>
      </x:c>
      <x:c r="P25" s="2" t="n">
        <x:f>'Task 1'!D4</x:f>
        <x:v>54</x:v>
      </x:c>
      <x:c r="Q25" s="2"/>
      <x:c r="R25" s="2"/>
      <x:c r="S25" s="2"/>
      <x:c r="T25" s="2"/>
      <x:c r="U25" s="2"/>
      <x:c r="V25" s="2"/>
    </x:row>
    <x:row r="26" ht="21" customHeight="1">
      <x:c r="A26" s="121" t="str">
        <x:v>GPT-6 Sol xhigh</x:v>
      </x:c>
      <x:c r="B26" s="122" t="n">
        <x:f>RANK(C26,$C$21:$C$30,0)</x:f>
        <x:v>6</x:v>
      </x:c>
      <x:c r="C26" s="122" t="n">
        <x:f>H11</x:f>
        <x:v>236</x:v>
      </x:c>
      <x:c r="D26" s="127" t="n">
        <x:f>I11</x:f>
        <x:v>78.66666666666667</x:v>
      </x:c>
      <x:c r="E26" s="125" t="n">
        <x:f>J11</x:f>
        <x:v>6.184</x:v>
      </x:c>
      <x:c r="F26" s="127" t="n">
        <x:f>C26/E26</x:f>
        <x:v>38.16300129366106</x:v>
      </x:c>
      <x:c r="G26" s="127" t="n">
        <x:f>AVERAGE(I140,I151,I161)</x:f>
        <x:v>74.33333333333333</x:v>
      </x:c>
      <x:c r="H26" s="127" t="n">
        <x:f>AVERAGE(J140,J151,J161)</x:f>
        <x:v>83</x:v>
      </x:c>
      <x:c r="I26" s="122" t="str">
        <x:f>IF(COUNTIFS($E$21:$E$30,"&lt;="&amp;E26,$C$21:$C$30,"&gt;="&amp;C26)-COUNTIFS($E$21:$E$30,E26,$C$21:$C$30,C26)&gt;0,"被支配","前沿")</x:f>
        <x:v>被支配</x:v>
      </x:c>
      <x:c r="J26" s="122" t="n">
        <x:f>K11</x:f>
        <x:v>54</x:v>
      </x:c>
      <x:c r="K26" s="122" t="n">
        <x:f>COUNTIF(B11,"&gt;=80")+COUNTIF(D11,"&gt;=80")+COUNTIF(F11,"&gt;=80")</x:f>
        <x:v>2</x:v>
      </x:c>
      <x:c r="L26" s="2"/>
      <x:c r="M26" s="2"/>
      <x:c r="N26" s="2" t="str">
        <x:v>GPT-6 Luna max</x:v>
      </x:c>
      <x:c r="O26" s="2" t="n">
        <x:f>LOG10('Task 1'!C8)</x:f>
        <x:v>-0.749579997691106</x:v>
      </x:c>
      <x:c r="P26" s="2" t="n">
        <x:f>'Task 1'!D8</x:f>
        <x:v>53</x:v>
      </x:c>
      <x:c r="Q26" s="2"/>
      <x:c r="R26" s="2"/>
      <x:c r="S26" s="2"/>
      <x:c r="T26" s="2"/>
      <x:c r="U26" s="2"/>
      <x:c r="V26" s="2"/>
    </x:row>
    <x:row r="27" ht="21" customHeight="1">
      <x:c r="A27" s="2" t="str">
        <x:v>GPT-5.6 Sol xhigh</x:v>
      </x:c>
      <x:c r="B27" s="12" t="n">
        <x:f>RANK(C27,$C$21:$C$30,0)</x:f>
        <x:v>7</x:v>
      </x:c>
      <x:c r="C27" s="12" t="n">
        <x:f>H12</x:f>
        <x:v>226</x:v>
      </x:c>
      <x:c r="D27" s="23" t="n">
        <x:f>I12</x:f>
        <x:v>75.33333333333333</x:v>
      </x:c>
      <x:c r="E27" s="20" t="n">
        <x:f>J12</x:f>
        <x:v>20.805</x:v>
      </x:c>
      <x:c r="F27" s="23" t="n">
        <x:f>C27/E27</x:f>
        <x:v>10.862773371785629</x:v>
      </x:c>
      <x:c r="G27" s="23" t="n">
        <x:f>AVERAGE(I138,I148,I158)</x:f>
        <x:v>71</x:v>
      </x:c>
      <x:c r="H27" s="23" t="n">
        <x:f>AVERAGE(J138,J148,J158)</x:f>
        <x:v>79.66666666666667</x:v>
      </x:c>
      <x:c r="I27" s="12" t="str">
        <x:f>IF(COUNTIFS($E$21:$E$30,"&lt;="&amp;E27,$C$21:$C$30,"&gt;="&amp;C27)-COUNTIFS($E$21:$E$30,E27,$C$21:$C$30,C27)&gt;0,"被支配","前沿")</x:f>
        <x:v>被支配</x:v>
      </x:c>
      <x:c r="J27" s="12" t="n">
        <x:f>K12</x:f>
        <x:v>57</x:v>
      </x:c>
      <x:c r="K27" s="12" t="n">
        <x:f>COUNTIF(B12,"&gt;=80")+COUNTIF(D12,"&gt;=80")+COUNTIF(F12,"&gt;=80")</x:f>
        <x:v>2</x:v>
      </x:c>
      <x:c r="L27" s="2"/>
      <x:c r="M27" s="2"/>
      <x:c r="N27" s="2" t="str">
        <x:v>DeepSeek V4.1 Flash max</x:v>
      </x:c>
      <x:c r="O27" s="2" t="n">
        <x:f>LOG10('Task 1'!C9)</x:f>
        <x:v>-0.382999658879101</x:v>
      </x:c>
      <x:c r="P27" s="2" t="n">
        <x:f>'Task 1'!D9</x:f>
        <x:v>47</x:v>
      </x:c>
      <x:c r="Q27" s="2"/>
      <x:c r="R27" s="2"/>
      <x:c r="S27" s="2"/>
      <x:c r="T27" s="2"/>
      <x:c r="U27" s="2"/>
      <x:c r="V27" s="2"/>
    </x:row>
    <x:row r="28" ht="21" customHeight="1">
      <x:c r="A28" s="121" t="str">
        <x:v>GPT-6 Luna max</x:v>
      </x:c>
      <x:c r="B28" s="122" t="n">
        <x:f>RANK(C28,$C$21:$C$30,0)</x:f>
        <x:v>8</x:v>
      </x:c>
      <x:c r="C28" s="122" t="n">
        <x:f>H13</x:f>
        <x:v>215</x:v>
      </x:c>
      <x:c r="D28" s="127" t="n">
        <x:f>I13</x:f>
        <x:v>71.66666666666667</x:v>
      </x:c>
      <x:c r="E28" s="125" t="n">
        <x:f>J13</x:f>
        <x:v>0.46399999999999997</x:v>
      </x:c>
      <x:c r="F28" s="127" t="n">
        <x:f>C28/E28</x:f>
        <x:v>463.36206896551727</x:v>
      </x:c>
      <x:c r="G28" s="127" t="n">
        <x:f>AVERAGE(I144,I149,I159)</x:f>
        <x:v>67</x:v>
      </x:c>
      <x:c r="H28" s="127" t="n">
        <x:f>AVERAGE(J144,J149,J159)</x:f>
        <x:v>76.66666666666667</x:v>
      </x:c>
      <x:c r="I28" s="122" t="str">
        <x:f>IF(COUNTIFS($E$21:$E$30,"&lt;="&amp;E28,$C$21:$C$30,"&gt;="&amp;C28)-COUNTIFS($E$21:$E$30,E28,$C$21:$C$30,C28)&gt;0,"被支配","前沿")</x:f>
        <x:v>前沿</x:v>
      </x:c>
      <x:c r="J28" s="122" t="n">
        <x:f>K13</x:f>
        <x:v>53</x:v>
      </x:c>
      <x:c r="K28" s="122" t="n">
        <x:f>COUNTIF(B13,"&gt;=80")+COUNTIF(D13,"&gt;=80")+COUNTIF(F13,"&gt;=80")</x:f>
        <x:v>1</x:v>
      </x:c>
      <x:c r="L28" s="2"/>
      <x:c r="M28" s="2"/>
      <x:c r="N28" s="2" t="str">
        <x:v>Grok 4.7 high</x:v>
      </x:c>
      <x:c r="O28" s="2" t="n">
        <x:f>LOG10('Task 1'!C5)</x:f>
        <x:v>0.654561554741743</x:v>
      </x:c>
      <x:c r="P28" s="2" t="n">
        <x:f>'Task 1'!D5</x:f>
        <x:v>30</x:v>
      </x:c>
      <x:c r="Q28" s="2"/>
      <x:c r="R28" s="2"/>
      <x:c r="S28" s="2"/>
      <x:c r="T28" s="2"/>
      <x:c r="U28" s="2"/>
      <x:c r="V28" s="2"/>
    </x:row>
    <x:row r="29" ht="21" customHeight="1">
      <x:c r="A29" s="2" t="str">
        <x:v>DeepSeek V4.1 Flash max</x:v>
      </x:c>
      <x:c r="B29" s="12" t="n">
        <x:f>RANK(C29,$C$21:$C$30,0)</x:f>
        <x:v>9</x:v>
      </x:c>
      <x:c r="C29" s="12" t="n">
        <x:f>H14</x:f>
        <x:v>176</x:v>
      </x:c>
      <x:c r="D29" s="23" t="n">
        <x:f>I14</x:f>
        <x:v>58.666666666666664</x:v>
      </x:c>
      <x:c r="E29" s="20" t="n">
        <x:f>J14</x:f>
        <x:v>1.321</x:v>
      </x:c>
      <x:c r="F29" s="23" t="n">
        <x:f>C29/E29</x:f>
        <x:v>133.2323996971991</x:v>
      </x:c>
      <x:c r="G29" s="23" t="n">
        <x:f>AVERAGE(I145,I155,I165)</x:f>
        <x:v>53.333333333333336</x:v>
      </x:c>
      <x:c r="H29" s="23" t="n">
        <x:f>AVERAGE(J145,J155,J165)</x:f>
        <x:v>65.33333333333333</x:v>
      </x:c>
      <x:c r="I29" s="12" t="str">
        <x:f>IF(COUNTIFS($E$21:$E$30,"&lt;="&amp;E29,$C$21:$C$30,"&gt;="&amp;C29)-COUNTIFS($E$21:$E$30,E29,$C$21:$C$30,C29)&gt;0,"被支配","前沿")</x:f>
        <x:v>被支配</x:v>
      </x:c>
      <x:c r="J29" s="12" t="n">
        <x:f>K14</x:f>
        <x:v>47</x:v>
      </x:c>
      <x:c r="K29" s="12" t="n">
        <x:f>COUNTIF(B14,"&gt;=80")+COUNTIF(D14,"&gt;=80")+COUNTIF(F14,"&gt;=80")</x:f>
        <x:v>0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21" customHeight="1">
      <x:c r="A30" s="123" t="str">
        <x:v>Grok 4.7 high</x:v>
      </x:c>
      <x:c r="B30" s="124" t="n">
        <x:f>RANK(C30,$C$21:$C$30,0)</x:f>
        <x:v>10</x:v>
      </x:c>
      <x:c r="C30" s="124" t="n">
        <x:f>H15</x:f>
        <x:v>169</x:v>
      </x:c>
      <x:c r="D30" s="128" t="n">
        <x:f>I15</x:f>
        <x:v>56.333333333333336</x:v>
      </x:c>
      <x:c r="E30" s="126" t="n">
        <x:f>J15</x:f>
        <x:v>14.676</x:v>
      </x:c>
      <x:c r="F30" s="128" t="n">
        <x:f>C30/E30</x:f>
        <x:v>11.515399291360044</x:v>
      </x:c>
      <x:c r="G30" s="128" t="n">
        <x:f>AVERAGE(I141,I153,I163)</x:f>
        <x:v>51.333333333333336</x:v>
      </x:c>
      <x:c r="H30" s="128" t="n">
        <x:f>AVERAGE(J141,J153,J163)</x:f>
        <x:v>62</x:v>
      </x:c>
      <x:c r="I30" s="124" t="str">
        <x:f>IF(COUNTIFS($E$21:$E$30,"&lt;="&amp;E30,$C$21:$C$30,"&gt;="&amp;C30)-COUNTIFS($E$21:$E$30,E30,$C$21:$C$30,C30)&gt;0,"被支配","前沿")</x:f>
        <x:v>被支配</x:v>
      </x:c>
      <x:c r="J30" s="124" t="n">
        <x:f>K15</x:f>
        <x:v>30</x:v>
      </x:c>
      <x:c r="K30" s="124" t="n">
        <x:f>COUNTIF(B15,"&gt;=80")+COUNTIF(D15,"&gt;=80")+COUNTIF(F15,"&gt;=80")</x:f>
        <x:v>0</x:v>
      </x:c>
      <x:c r="L30" s="2"/>
      <x:c r="M30" s="2"/>
      <x:c r="N30" s="2" t="str">
        <x:v>Model</x:v>
      </x:c>
      <x:c r="O30" s="2" t="str">
        <x:v>log10(USD)</x:v>
      </x:c>
      <x:c r="P30" s="2" t="str">
        <x:v>Score /100</x:v>
      </x:c>
      <x:c r="Q30" s="2"/>
      <x:c r="R30" s="2"/>
      <x:c r="S30" s="2"/>
      <x:c r="T30" s="2"/>
      <x:c r="U30" s="2"/>
      <x:c r="V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 t="str">
        <x:v>GPT-6.1 Sol xhigh</x:v>
      </x:c>
      <x:c r="O31" s="2" t="n">
        <x:f>LOG10('Task 2'!C10)</x:f>
        <x:v>0.0457140589408676</x:v>
      </x:c>
      <x:c r="P31" s="2" t="n">
        <x:f>'Task 2'!D10</x:f>
        <x:v>98</x:v>
      </x:c>
      <x:c r="Q31" s="2"/>
      <x:c r="R31" s="2"/>
      <x:c r="S31" s="2"/>
      <x:c r="T31" s="2"/>
      <x:c r="U31" s="2"/>
      <x:c r="V31" s="2"/>
    </x:row>
    <x:row r="32" ht="21" customHeight="1">
      <x:c r="A32" s="129" t="str">
        <x:v>评阅范围是三题判断范围端点的均值，非统计置信区间；前沿以中心分数判定。总分 / USD 仅为辅助指标。</x:v>
      </x:c>
      <x:c r="B32" s="129"/>
      <x:c r="C32" s="129"/>
      <x:c r="D32" s="129"/>
      <x:c r="E32" s="129"/>
      <x:c r="F32" s="129"/>
      <x:c r="G32" s="129"/>
      <x:c r="H32" s="129"/>
      <x:c r="I32" s="129"/>
      <x:c r="J32" s="129"/>
      <x:c r="K32" s="129"/>
      <x:c r="L32" s="2"/>
      <x:c r="M32" s="2"/>
      <x:c r="N32" s="2" t="str">
        <x:v>GPT-6.1 Sol max</x:v>
      </x:c>
      <x:c r="O32" s="2" t="n">
        <x:f>LOG10('Task 2'!C11)</x:f>
        <x:v>0.0569048513364726</x:v>
      </x:c>
      <x:c r="P32" s="2" t="n">
        <x:f>'Task 2'!D11</x:f>
        <x:v>98</x:v>
      </x:c>
      <x:c r="Q32" s="2"/>
      <x:c r="R32" s="2"/>
      <x:c r="S32" s="2"/>
      <x:c r="T32" s="2"/>
      <x:c r="U32" s="2"/>
      <x:c r="V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 t="str">
        <x:v>GPT-6 Astra high</x:v>
      </x:c>
      <x:c r="O33" s="2" t="n">
        <x:f>LOG10('Task 2'!C6)</x:f>
        <x:v>0.658011396657112</x:v>
      </x:c>
      <x:c r="P33" s="2" t="n">
        <x:f>'Task 2'!D6</x:f>
        <x:v>97</x:v>
      </x:c>
      <x:c r="Q33" s="2"/>
      <x:c r="R33" s="2"/>
      <x:c r="S33" s="2"/>
      <x:c r="T33" s="2"/>
      <x:c r="U33" s="2"/>
      <x:c r="V33" s="2"/>
    </x:row>
    <x:row r="34" ht="24" customHeight="1">
      <x:c r="A34" s="27" t="str">
        <x:v>五个评分维度的三题均值</x:v>
      </x:c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"/>
      <x:c r="M34" s="2"/>
      <x:c r="N34" s="2" t="str">
        <x:v>GPT-6 Sol max</x:v>
      </x:c>
      <x:c r="O34" s="2" t="n">
        <x:f>LOG10('Task 2'!C4)</x:f>
        <x:v>0.258637282724076</x:v>
      </x:c>
      <x:c r="P34" s="2" t="n">
        <x:f>'Task 2'!D4</x:f>
        <x:v>94</x:v>
      </x:c>
      <x:c r="Q34" s="2"/>
      <x:c r="R34" s="2"/>
      <x:c r="S34" s="2"/>
      <x:c r="T34" s="2"/>
      <x:c r="U34" s="2"/>
      <x:c r="V34" s="2"/>
    </x:row>
    <x:row r="35" ht="35" customHeight="1">
      <x:c r="A35" s="120" t="str">
        <x:v>模型配置</x:v>
      </x:c>
      <x:c r="B35" s="120" t="str">
        <x:v>定义 /15</x:v>
      </x:c>
      <x:c r="C35" s="120" t="str">
        <x:v>校准 /30</x:v>
      </x:c>
      <x:c r="D35" s="120" t="str">
        <x:v>验证 /15</x:v>
      </x:c>
      <x:c r="E35" s="120" t="str">
        <x:v>推进 /30</x:v>
      </x:c>
      <x:c r="F35" s="120" t="str">
        <x:v>结论 /10</x:v>
      </x:c>
      <x:c r="G35" s="120" t="str">
        <x:v>均分 /100</x:v>
      </x:c>
      <x:c r="H35" s="120" t="str">
        <x:v>第 1 题</x:v>
      </x:c>
      <x:c r="I35" s="120" t="str">
        <x:v>第 2 题</x:v>
      </x:c>
      <x:c r="J35" s="120" t="str">
        <x:v>第 3 题</x:v>
      </x:c>
      <x:c r="K35" s="120" t="str">
        <x:v>分差范围</x:v>
      </x:c>
      <x:c r="L35" s="2"/>
      <x:c r="M35" s="2"/>
      <x:c r="N35" s="2" t="str">
        <x:v>Opus 5.5 xhigh</x:v>
      </x:c>
      <x:c r="O35" s="2" t="n">
        <x:f>LOG10('Task 2'!C8)</x:f>
        <x:v>1.09096307659573</x:v>
      </x:c>
      <x:c r="P35" s="2" t="n">
        <x:f>'Task 2'!D8</x:f>
        <x:v>93</x:v>
      </x:c>
      <x:c r="Q35" s="2"/>
      <x:c r="R35" s="2"/>
      <x:c r="S35" s="2"/>
      <x:c r="T35" s="2"/>
      <x:c r="U35" s="2"/>
      <x:c r="V35" s="2"/>
    </x:row>
    <x:row r="36" ht="21" customHeight="1">
      <x:c r="A36" s="2" t="str">
        <x:v>GPT-6.1 Sol max</x:v>
      </x:c>
      <x:c r="B36" s="23" t="n">
        <x:f>AVERAGE(C147,C157,C167)</x:f>
        <x:v>15</x:v>
      </x:c>
      <x:c r="C36" s="23" t="n">
        <x:f>AVERAGE(D147,D157,D167)</x:f>
        <x:v>30</x:v>
      </x:c>
      <x:c r="D36" s="23" t="n">
        <x:f>AVERAGE(E147,E157,E167)</x:f>
        <x:v>13.666666666666666</x:v>
      </x:c>
      <x:c r="E36" s="23" t="n">
        <x:f>AVERAGE(F147,F157,F167)</x:f>
        <x:v>29.333333333333332</x:v>
      </x:c>
      <x:c r="F36" s="23" t="n">
        <x:f>AVERAGE(G147,G157,G167)</x:f>
        <x:v>10</x:v>
      </x:c>
      <x:c r="G36" s="23" t="n">
        <x:f>SUM(B36:F36)</x:f>
        <x:v>98</x:v>
      </x:c>
      <x:c r="H36" s="12" t="n">
        <x:f>B6</x:f>
        <x:v>97</x:v>
      </x:c>
      <x:c r="I36" s="12" t="n">
        <x:f>D6</x:f>
        <x:v>98</x:v>
      </x:c>
      <x:c r="J36" s="12" t="n">
        <x:f>F6</x:f>
        <x:v>99</x:v>
      </x:c>
      <x:c r="K36" s="12" t="n">
        <x:f>MAX(H36:J36)-MIN(H36:J36)</x:f>
        <x:v>2</x:v>
      </x:c>
      <x:c r="L36" s="2"/>
      <x:c r="M36" s="2"/>
      <x:c r="N36" s="2" t="str">
        <x:v>GPT-6 Sol xhigh</x:v>
      </x:c>
      <x:c r="O36" s="2" t="n">
        <x:f>LOG10('Task 2'!C5)</x:f>
        <x:v>0.33344727449675</x:v>
      </x:c>
      <x:c r="P36" s="2" t="n">
        <x:f>'Task 2'!D5</x:f>
        <x:v>92</x:v>
      </x:c>
      <x:c r="Q36" s="2"/>
      <x:c r="R36" s="2"/>
      <x:c r="S36" s="2"/>
      <x:c r="T36" s="2"/>
      <x:c r="U36" s="2"/>
      <x:c r="V36" s="2"/>
    </x:row>
    <x:row r="37" ht="21" customHeight="1">
      <x:c r="A37" s="121" t="str">
        <x:v>GPT-6.1 Sol xhigh</x:v>
      </x:c>
      <x:c r="B37" s="127" t="n">
        <x:f>AVERAGE(C146,C156,C166)</x:f>
        <x:v>15</x:v>
      </x:c>
      <x:c r="C37" s="127" t="n">
        <x:f>AVERAGE(D146,D156,D166)</x:f>
        <x:v>30</x:v>
      </x:c>
      <x:c r="D37" s="127" t="n">
        <x:f>AVERAGE(E146,E156,E166)</x:f>
        <x:v>13.333333333333334</x:v>
      </x:c>
      <x:c r="E37" s="127" t="n">
        <x:f>AVERAGE(F146,F156,F166)</x:f>
        <x:v>28.666666666666668</x:v>
      </x:c>
      <x:c r="F37" s="127" t="n">
        <x:f>AVERAGE(G146,G156,G166)</x:f>
        <x:v>10</x:v>
      </x:c>
      <x:c r="G37" s="127" t="n">
        <x:f>SUM(B37:F37)</x:f>
        <x:v>97</x:v>
      </x:c>
      <x:c r="H37" s="122" t="n">
        <x:f>B7</x:f>
        <x:v>95</x:v>
      </x:c>
      <x:c r="I37" s="122" t="n">
        <x:f>D7</x:f>
        <x:v>98</x:v>
      </x:c>
      <x:c r="J37" s="122" t="n">
        <x:f>F7</x:f>
        <x:v>98</x:v>
      </x:c>
      <x:c r="K37" s="122" t="n">
        <x:f>MAX(H37:J37)-MIN(H37:J37)</x:f>
        <x:v>3</x:v>
      </x:c>
      <x:c r="L37" s="2"/>
      <x:c r="M37" s="2"/>
      <x:c r="N37" s="2" t="str">
        <x:v>GPT-5.6 Sol xhigh</x:v>
      </x:c>
      <x:c r="O37" s="2" t="n">
        <x:f>LOG10('Task 2'!C2)</x:f>
        <x:v>0.441380884916511</x:v>
      </x:c>
      <x:c r="P37" s="2" t="n">
        <x:f>'Task 2'!D2</x:f>
        <x:v>87</x:v>
      </x:c>
      <x:c r="Q37" s="2"/>
      <x:c r="R37" s="2"/>
      <x:c r="S37" s="2"/>
      <x:c r="T37" s="2"/>
      <x:c r="U37" s="2"/>
      <x:c r="V37" s="2"/>
    </x:row>
    <x:row r="38" ht="21" customHeight="1">
      <x:c r="A38" s="2" t="str">
        <x:v>GPT-6 Astra high</x:v>
      </x:c>
      <x:c r="B38" s="23" t="n">
        <x:f>AVERAGE(C139,C152,C162)</x:f>
        <x:v>14.666666666666666</x:v>
      </x:c>
      <x:c r="C38" s="23" t="n">
        <x:f>AVERAGE(D139,D152,D162)</x:f>
        <x:v>29.333333333333332</x:v>
      </x:c>
      <x:c r="D38" s="23" t="n">
        <x:f>AVERAGE(E139,E152,E162)</x:f>
        <x:v>13.666666666666666</x:v>
      </x:c>
      <x:c r="E38" s="23" t="n">
        <x:f>AVERAGE(F139,F152,F162)</x:f>
        <x:v>28.333333333333332</x:v>
      </x:c>
      <x:c r="F38" s="23" t="n">
        <x:f>AVERAGE(G139,G152,G162)</x:f>
        <x:v>9.666666666666666</x:v>
      </x:c>
      <x:c r="G38" s="23" t="n">
        <x:f>SUM(B38:F38)</x:f>
        <x:v>95.66666666666667</x:v>
      </x:c>
      <x:c r="H38" s="12" t="n">
        <x:f>B8</x:f>
        <x:v>92</x:v>
      </x:c>
      <x:c r="I38" s="12" t="n">
        <x:f>D8</x:f>
        <x:v>97</x:v>
      </x:c>
      <x:c r="J38" s="12" t="n">
        <x:f>F8</x:f>
        <x:v>98</x:v>
      </x:c>
      <x:c r="K38" s="12" t="n">
        <x:f>MAX(H38:J38)-MIN(H38:J38)</x:f>
        <x:v>6</x:v>
      </x:c>
      <x:c r="L38" s="2"/>
      <x:c r="M38" s="2"/>
      <x:c r="N38" s="2" t="str">
        <x:v>GPT-6 Luna max</x:v>
      </x:c>
      <x:c r="O38" s="2" t="n">
        <x:f>LOG10('Task 2'!C3)</x:f>
        <x:v>-0.844663962534938</x:v>
      </x:c>
      <x:c r="P38" s="2" t="n">
        <x:f>'Task 2'!D3</x:f>
        <x:v>86</x:v>
      </x:c>
      <x:c r="Q38" s="2"/>
      <x:c r="R38" s="2"/>
      <x:c r="S38" s="2"/>
      <x:c r="T38" s="2"/>
      <x:c r="U38" s="2"/>
      <x:c r="V38" s="2"/>
    </x:row>
    <x:row r="39" ht="21" customHeight="1">
      <x:c r="A39" s="121" t="str">
        <x:v>GPT-6 Sol max</x:v>
      </x:c>
      <x:c r="B39" s="127" t="n">
        <x:f>AVERAGE(C143,C150,C160)</x:f>
        <x:v>14.666666666666666</x:v>
      </x:c>
      <x:c r="C39" s="127" t="n">
        <x:f>AVERAGE(D143,D150,D160)</x:f>
        <x:v>29.333333333333332</x:v>
      </x:c>
      <x:c r="D39" s="127" t="n">
        <x:f>AVERAGE(E143,E150,E160)</x:f>
        <x:v>13</x:v>
      </x:c>
      <x:c r="E39" s="127" t="n">
        <x:f>AVERAGE(F143,F150,F160)</x:f>
        <x:v>27.333333333333332</x:v>
      </x:c>
      <x:c r="F39" s="127" t="n">
        <x:f>AVERAGE(G143,G150,G160)</x:f>
        <x:v>10</x:v>
      </x:c>
      <x:c r="G39" s="127" t="n">
        <x:f>SUM(B39:F39)</x:f>
        <x:v>94.33333333333333</x:v>
      </x:c>
      <x:c r="H39" s="122" t="n">
        <x:f>B9</x:f>
        <x:v>94</x:v>
      </x:c>
      <x:c r="I39" s="122" t="n">
        <x:f>D9</x:f>
        <x:v>94</x:v>
      </x:c>
      <x:c r="J39" s="122" t="n">
        <x:f>F9</x:f>
        <x:v>95</x:v>
      </x:c>
      <x:c r="K39" s="122" t="n">
        <x:f>MAX(H39:J39)-MIN(H39:J39)</x:f>
        <x:v>1</x:v>
      </x:c>
      <x:c r="L39" s="2"/>
      <x:c r="M39" s="2"/>
      <x:c r="N39" s="2" t="str">
        <x:v>DeepSeek V4.1 Flash max</x:v>
      </x:c>
      <x:c r="O39" s="2" t="n">
        <x:f>LOG10('Task 2'!C9)</x:f>
        <x:v>-0.366531544420413</x:v>
      </x:c>
      <x:c r="P39" s="2" t="n">
        <x:f>'Task 2'!D9</x:f>
        <x:v>75</x:v>
      </x:c>
      <x:c r="Q39" s="2"/>
      <x:c r="R39" s="2"/>
      <x:c r="S39" s="2"/>
      <x:c r="T39" s="2"/>
      <x:c r="U39" s="2"/>
      <x:c r="V39" s="2"/>
    </x:row>
    <x:row r="40" ht="21" customHeight="1">
      <x:c r="A40" s="2" t="str">
        <x:v>Opus 5.5 xhigh</x:v>
      </x:c>
      <x:c r="B40" s="23" t="n">
        <x:f>AVERAGE(C142,C154,C164)</x:f>
        <x:v>13.666666666666666</x:v>
      </x:c>
      <x:c r="C40" s="23" t="n">
        <x:f>AVERAGE(D142,D154,D164)</x:f>
        <x:v>28.333333333333332</x:v>
      </x:c>
      <x:c r="D40" s="23" t="n">
        <x:f>AVERAGE(E142,E154,E164)</x:f>
        <x:v>13</x:v>
      </x:c>
      <x:c r="E40" s="23" t="n">
        <x:f>AVERAGE(F142,F154,F164)</x:f>
        <x:v>25.666666666666668</x:v>
      </x:c>
      <x:c r="F40" s="23" t="n">
        <x:f>AVERAGE(G142,G154,G164)</x:f>
        <x:v>6.333333333333333</x:v>
      </x:c>
      <x:c r="G40" s="23" t="n">
        <x:f>SUM(B40:F40)</x:f>
        <x:v>87</x:v>
      </x:c>
      <x:c r="H40" s="12" t="n">
        <x:f>B10</x:f>
        <x:v>87</x:v>
      </x:c>
      <x:c r="I40" s="12" t="n">
        <x:f>D10</x:f>
        <x:v>93</x:v>
      </x:c>
      <x:c r="J40" s="12" t="n">
        <x:f>F10</x:f>
        <x:v>81</x:v>
      </x:c>
      <x:c r="K40" s="12" t="n">
        <x:f>MAX(H40:J40)-MIN(H40:J40)</x:f>
        <x:v>12</x:v>
      </x:c>
      <x:c r="L40" s="2"/>
      <x:c r="M40" s="2"/>
      <x:c r="N40" s="2" t="str">
        <x:v>Grok 4.7 high</x:v>
      </x:c>
      <x:c r="O40" s="2" t="n">
        <x:f>LOG10('Task 2'!C7)</x:f>
        <x:v>0.630834517828051</x:v>
      </x:c>
      <x:c r="P40" s="2" t="n">
        <x:f>'Task 2'!D7</x:f>
        <x:v>69</x:v>
      </x:c>
      <x:c r="Q40" s="2"/>
      <x:c r="R40" s="2"/>
      <x:c r="S40" s="2"/>
      <x:c r="T40" s="2"/>
      <x:c r="U40" s="2"/>
      <x:c r="V40" s="2"/>
    </x:row>
    <x:row r="41" ht="21" customHeight="1">
      <x:c r="A41" s="121" t="str">
        <x:v>GPT-6 Sol xhigh</x:v>
      </x:c>
      <x:c r="B41" s="127" t="n">
        <x:f>AVERAGE(C140,C151,C161)</x:f>
        <x:v>14.666666666666666</x:v>
      </x:c>
      <x:c r="C41" s="127" t="n">
        <x:f>AVERAGE(D140,D151,D161)</x:f>
        <x:v>26.333333333333332</x:v>
      </x:c>
      <x:c r="D41" s="127" t="n">
        <x:f>AVERAGE(E140,E151,E161)</x:f>
        <x:v>10</x:v>
      </x:c>
      <x:c r="E41" s="127" t="n">
        <x:f>AVERAGE(F140,F151,F161)</x:f>
        <x:v>19</x:v>
      </x:c>
      <x:c r="F41" s="127" t="n">
        <x:f>AVERAGE(G140,G151,G161)</x:f>
        <x:v>8.666666666666666</x:v>
      </x:c>
      <x:c r="G41" s="127" t="n">
        <x:f>SUM(B41:F41)</x:f>
        <x:v>78.66666666666667</x:v>
      </x:c>
      <x:c r="H41" s="122" t="n">
        <x:f>B11</x:f>
        <x:v>54</x:v>
      </x:c>
      <x:c r="I41" s="122" t="n">
        <x:f>D11</x:f>
        <x:v>92</x:v>
      </x:c>
      <x:c r="J41" s="122" t="n">
        <x:f>F11</x:f>
        <x:v>90</x:v>
      </x:c>
      <x:c r="K41" s="122" t="n">
        <x:f>MAX(H41:J41)-MIN(H41:J41)</x:f>
        <x:v>38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 ht="21" customHeight="1">
      <x:c r="A42" s="2" t="str">
        <x:v>GPT-5.6 Sol xhigh</x:v>
      </x:c>
      <x:c r="B42" s="23" t="n">
        <x:f>AVERAGE(C138,C148,C158)</x:f>
        <x:v>14</x:v>
      </x:c>
      <x:c r="C42" s="23" t="n">
        <x:f>AVERAGE(D138,D148,D158)</x:f>
        <x:v>25</x:v>
      </x:c>
      <x:c r="D42" s="23" t="n">
        <x:f>AVERAGE(E138,E148,E158)</x:f>
        <x:v>10.333333333333334</x:v>
      </x:c>
      <x:c r="E42" s="23" t="n">
        <x:f>AVERAGE(F138,F148,F158)</x:f>
        <x:v>18.333333333333332</x:v>
      </x:c>
      <x:c r="F42" s="23" t="n">
        <x:f>AVERAGE(G138,G148,G158)</x:f>
        <x:v>7.666666666666667</x:v>
      </x:c>
      <x:c r="G42" s="23" t="n">
        <x:f>SUM(B42:F42)</x:f>
        <x:v>75.33333333333334</x:v>
      </x:c>
      <x:c r="H42" s="12" t="n">
        <x:f>B12</x:f>
        <x:v>57</x:v>
      </x:c>
      <x:c r="I42" s="12" t="n">
        <x:f>D12</x:f>
        <x:v>87</x:v>
      </x:c>
      <x:c r="J42" s="12" t="n">
        <x:f>F12</x:f>
        <x:v>82</x:v>
      </x:c>
      <x:c r="K42" s="12" t="n">
        <x:f>MAX(H42:J42)-MIN(H42:J42)</x:f>
        <x:v>30</x:v>
      </x:c>
      <x:c r="L42" s="2"/>
      <x:c r="M42" s="2"/>
      <x:c r="N42" s="2" t="str">
        <x:v>Model</x:v>
      </x:c>
      <x:c r="O42" s="2" t="str">
        <x:v>log10(USD)</x:v>
      </x:c>
      <x:c r="P42" s="2" t="str">
        <x:v>Score /100</x:v>
      </x:c>
      <x:c r="Q42" s="2"/>
      <x:c r="R42" s="2"/>
      <x:c r="S42" s="2"/>
      <x:c r="T42" s="2"/>
      <x:c r="U42" s="2"/>
      <x:c r="V42" s="2"/>
    </x:row>
    <x:row r="43" ht="21" customHeight="1">
      <x:c r="A43" s="121" t="str">
        <x:v>GPT-6 Luna max</x:v>
      </x:c>
      <x:c r="B43" s="127" t="n">
        <x:f>AVERAGE(C144,C149,C159)</x:f>
        <x:v>14.666666666666666</x:v>
      </x:c>
      <x:c r="C43" s="127" t="n">
        <x:f>AVERAGE(D144,D149,D159)</x:f>
        <x:v>25</x:v>
      </x:c>
      <x:c r="D43" s="127" t="n">
        <x:f>AVERAGE(E144,E149,E159)</x:f>
        <x:v>9</x:v>
      </x:c>
      <x:c r="E43" s="127" t="n">
        <x:f>AVERAGE(F144,F149,F159)</x:f>
        <x:v>14.666666666666666</x:v>
      </x:c>
      <x:c r="F43" s="127" t="n">
        <x:f>AVERAGE(G144,G149,G159)</x:f>
        <x:v>8.333333333333334</x:v>
      </x:c>
      <x:c r="G43" s="127" t="n">
        <x:f>SUM(B43:F43)</x:f>
        <x:v>71.66666666666666</x:v>
      </x:c>
      <x:c r="H43" s="122" t="n">
        <x:f>B13</x:f>
        <x:v>53</x:v>
      </x:c>
      <x:c r="I43" s="122" t="n">
        <x:f>D13</x:f>
        <x:v>86</x:v>
      </x:c>
      <x:c r="J43" s="122" t="n">
        <x:f>F13</x:f>
        <x:v>76</x:v>
      </x:c>
      <x:c r="K43" s="122" t="n">
        <x:f>MAX(H43:J43)-MIN(H43:J43)</x:f>
        <x:v>33</x:v>
      </x:c>
      <x:c r="L43" s="2"/>
      <x:c r="M43" s="2"/>
      <x:c r="N43" s="2" t="str">
        <x:v>GPT-6.1 Sol max</x:v>
      </x:c>
      <x:c r="O43" s="2" t="n">
        <x:f>LOG10('Task 3'!C11)</x:f>
        <x:v>0.215108581053093</x:v>
      </x:c>
      <x:c r="P43" s="2" t="n">
        <x:f>'Task 3'!D11</x:f>
        <x:v>99</x:v>
      </x:c>
      <x:c r="Q43" s="2"/>
      <x:c r="R43" s="2"/>
      <x:c r="S43" s="2"/>
      <x:c r="T43" s="2"/>
      <x:c r="U43" s="2"/>
      <x:c r="V43" s="2"/>
    </x:row>
    <x:row r="44" ht="21" customHeight="1">
      <x:c r="A44" s="2" t="str">
        <x:v>DeepSeek V4.1 Flash max</x:v>
      </x:c>
      <x:c r="B44" s="23" t="n">
        <x:f>AVERAGE(C145,C155,C165)</x:f>
        <x:v>12.333333333333334</x:v>
      </x:c>
      <x:c r="C44" s="23" t="n">
        <x:f>AVERAGE(D145,D155,D165)</x:f>
        <x:v>22.666666666666668</x:v>
      </x:c>
      <x:c r="D44" s="23" t="n">
        <x:f>AVERAGE(E145,E155,E165)</x:f>
        <x:v>8</x:v>
      </x:c>
      <x:c r="E44" s="23" t="n">
        <x:f>AVERAGE(F145,F155,F165)</x:f>
        <x:v>11.666666666666666</x:v>
      </x:c>
      <x:c r="F44" s="23" t="n">
        <x:f>AVERAGE(G145,G155,G165)</x:f>
        <x:v>4</x:v>
      </x:c>
      <x:c r="G44" s="23" t="n">
        <x:f>SUM(B44:F44)</x:f>
        <x:v>58.666666666666664</x:v>
      </x:c>
      <x:c r="H44" s="12" t="n">
        <x:f>B14</x:f>
        <x:v>47</x:v>
      </x:c>
      <x:c r="I44" s="12" t="n">
        <x:f>D14</x:f>
        <x:v>75</x:v>
      </x:c>
      <x:c r="J44" s="12" t="n">
        <x:f>F14</x:f>
        <x:v>54</x:v>
      </x:c>
      <x:c r="K44" s="12" t="n">
        <x:f>MAX(H44:J44)-MIN(H44:J44)</x:f>
        <x:v>28</x:v>
      </x:c>
      <x:c r="L44" s="2"/>
      <x:c r="M44" s="2"/>
      <x:c r="N44" s="2" t="str">
        <x:v>GPT-6 Astra high</x:v>
      </x:c>
      <x:c r="O44" s="2" t="n">
        <x:f>LOG10('Task 3'!C6)</x:f>
        <x:v>0.623869268350302</x:v>
      </x:c>
      <x:c r="P44" s="2" t="n">
        <x:f>'Task 3'!D6</x:f>
        <x:v>98</x:v>
      </x:c>
      <x:c r="Q44" s="2"/>
      <x:c r="R44" s="2"/>
      <x:c r="S44" s="2"/>
      <x:c r="T44" s="2"/>
      <x:c r="U44" s="2"/>
      <x:c r="V44" s="2"/>
    </x:row>
    <x:row r="45" ht="21" customHeight="1">
      <x:c r="A45" s="123" t="str">
        <x:v>Grok 4.7 high</x:v>
      </x:c>
      <x:c r="B45" s="128" t="n">
        <x:f>AVERAGE(C141,C153,C163)</x:f>
        <x:v>12</x:v>
      </x:c>
      <x:c r="C45" s="128" t="n">
        <x:f>AVERAGE(D141,D153,D163)</x:f>
        <x:v>19.666666666666668</x:v>
      </x:c>
      <x:c r="D45" s="128" t="n">
        <x:f>AVERAGE(E141,E153,E163)</x:f>
        <x:v>8.333333333333334</x:v>
      </x:c>
      <x:c r="E45" s="128" t="n">
        <x:f>AVERAGE(F141,F153,F163)</x:f>
        <x:v>10.666666666666666</x:v>
      </x:c>
      <x:c r="F45" s="128" t="n">
        <x:f>AVERAGE(G141,G153,G163)</x:f>
        <x:v>5.666666666666667</x:v>
      </x:c>
      <x:c r="G45" s="128" t="n">
        <x:f>SUM(B45:F45)</x:f>
        <x:v>56.33333333333333</x:v>
      </x:c>
      <x:c r="H45" s="124" t="n">
        <x:f>B15</x:f>
        <x:v>30</x:v>
      </x:c>
      <x:c r="I45" s="124" t="n">
        <x:f>D15</x:f>
        <x:v>69</x:v>
      </x:c>
      <x:c r="J45" s="124" t="n">
        <x:f>F15</x:f>
        <x:v>70</x:v>
      </x:c>
      <x:c r="K45" s="124" t="n">
        <x:f>MAX(H45:J45)-MIN(H45:J45)</x:f>
        <x:v>40</x:v>
      </x:c>
      <x:c r="L45" s="2"/>
      <x:c r="M45" s="2"/>
      <x:c r="N45" s="2" t="str">
        <x:v>GPT-6.1 Sol xhigh</x:v>
      </x:c>
      <x:c r="O45" s="2" t="n">
        <x:f>LOG10('Task 3'!C10)</x:f>
        <x:v>0.137037454789513</x:v>
      </x:c>
      <x:c r="P45" s="2" t="n">
        <x:f>'Task 3'!D10</x:f>
        <x:v>98</x:v>
      </x:c>
      <x:c r="Q45" s="2"/>
      <x:c r="R45" s="2"/>
      <x:c r="S45" s="2"/>
      <x:c r="T45" s="2"/>
      <x:c r="U45" s="2"/>
      <x:c r="V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 t="str">
        <x:v>GPT-6 Sol max</x:v>
      </x:c>
      <x:c r="O46" s="2" t="n">
        <x:f>LOG10('Task 3'!C4)</x:f>
        <x:v>0.3654879848909</x:v>
      </x:c>
      <x:c r="P46" s="2" t="n">
        <x:f>'Task 3'!D4</x:f>
        <x:v>95</x:v>
      </x:c>
      <x:c r="Q46" s="2"/>
      <x:c r="R46" s="2"/>
      <x:c r="S46" s="2"/>
      <x:c r="T46" s="2"/>
      <x:c r="U46" s="2"/>
      <x:c r="V46" s="2"/>
    </x:row>
    <x:row r="47" ht="17.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 t="str">
        <x:v>GPT-6 Sol xhigh</x:v>
      </x:c>
      <x:c r="O47" s="2" t="n">
        <x:f>LOG10('Task 3'!C5)</x:f>
        <x:v>0.215637563435062</x:v>
      </x:c>
      <x:c r="P47" s="2" t="n">
        <x:f>'Task 3'!D5</x:f>
        <x:v>90</x:v>
      </x:c>
      <x:c r="Q47" s="2"/>
      <x:c r="R47" s="2"/>
      <x:c r="S47" s="2"/>
      <x:c r="T47" s="2"/>
      <x:c r="U47" s="2"/>
      <x:c r="V47" s="2"/>
    </x:row>
    <x:row r="48" ht="17.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 t="str">
        <x:v>GPT-5.6 Sol xhigh</x:v>
      </x:c>
      <x:c r="O48" s="2" t="n">
        <x:f>LOG10('Task 3'!C2)</x:f>
        <x:v>1.14488541828714</x:v>
      </x:c>
      <x:c r="P48" s="2" t="n">
        <x:f>'Task 3'!D2</x:f>
        <x:v>82</x:v>
      </x:c>
      <x:c r="Q48" s="2"/>
      <x:c r="R48" s="2"/>
      <x:c r="S48" s="2"/>
      <x:c r="T48" s="2"/>
      <x:c r="U48" s="2"/>
      <x:c r="V48" s="2"/>
    </x:row>
    <x:row r="49" ht="17.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 t="str">
        <x:v>Opus 5.5 xhigh</x:v>
      </x:c>
      <x:c r="O49" s="2" t="n">
        <x:f>LOG10('Task 3'!C8)</x:f>
        <x:v>1.15787967438915</x:v>
      </x:c>
      <x:c r="P49" s="2" t="n">
        <x:f>'Task 3'!D8</x:f>
        <x:v>81</x:v>
      </x:c>
      <x:c r="Q49" s="2"/>
      <x:c r="R49" s="2"/>
      <x:c r="S49" s="2"/>
      <x:c r="T49" s="2"/>
      <x:c r="U49" s="2"/>
      <x:c r="V49" s="2"/>
    </x:row>
    <x:row r="50" ht="17.2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 t="str">
        <x:v>GPT-6 Luna max</x:v>
      </x:c>
      <x:c r="O50" s="2" t="n">
        <x:f>LOG10('Task 3'!C3)</x:f>
        <x:v>-0.844663962534938</x:v>
      </x:c>
      <x:c r="P50" s="2" t="n">
        <x:f>'Task 3'!D3</x:f>
        <x:v>76</x:v>
      </x:c>
      <x:c r="Q50" s="2"/>
      <x:c r="R50" s="2"/>
      <x:c r="S50" s="2"/>
      <x:c r="T50" s="2"/>
      <x:c r="U50" s="2"/>
      <x:c r="V50" s="2"/>
    </x:row>
    <x:row r="51" ht="17.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 t="str">
        <x:v>Grok 4.7 high</x:v>
      </x:c>
      <x:c r="O51" s="2" t="n">
        <x:f>LOG10('Task 3'!C7)</x:f>
        <x:v>0.769967801329442</x:v>
      </x:c>
      <x:c r="P51" s="2" t="n">
        <x:f>'Task 3'!D7</x:f>
        <x:v>70</x:v>
      </x:c>
      <x:c r="Q51" s="2"/>
      <x:c r="R51" s="2"/>
      <x:c r="S51" s="2"/>
      <x:c r="T51" s="2"/>
      <x:c r="U51" s="2"/>
      <x:c r="V51" s="2"/>
    </x:row>
    <x:row r="52" ht="17.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 t="str">
        <x:v>DeepSeek V4.1 Flash max</x:v>
      </x:c>
      <x:c r="O52" s="2" t="n">
        <x:f>LOG10('Task 3'!C9)</x:f>
        <x:v>-0.321481620959886</x:v>
      </x:c>
      <x:c r="P52" s="2" t="n">
        <x:f>'Task 3'!D9</x:f>
        <x:v>54</x:v>
      </x:c>
      <x:c r="Q52" s="2"/>
      <x:c r="R52" s="2"/>
      <x:c r="S52" s="2"/>
      <x:c r="T52" s="2"/>
      <x:c r="U52" s="2"/>
      <x:c r="V52" s="2"/>
    </x:row>
    <x:row r="53" ht="17.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 ht="17.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 ht="17.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17.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 ht="17.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 ht="17.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 ht="17.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 ht="17.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 ht="17.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 ht="17.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 ht="17.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 ht="17.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 ht="17.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 ht="17.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 ht="17.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 ht="17.2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 ht="17.2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 ht="17.2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 ht="17.2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 ht="17.2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 ht="17.2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 ht="17.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 ht="17.2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 ht="17.2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 ht="17.2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 ht="17.2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 ht="17.2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 ht="17.2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 ht="17.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 ht="17.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 ht="17.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 ht="17.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 ht="17.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 ht="17.2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 ht="17.2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</x:row>
    <x:row r="88" ht="17.2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 ht="17.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 ht="17.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 ht="17.2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 ht="17.2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 ht="24" customHeight="1">
      <x:c r="A94" s="27" t="str">
        <x:v>事后按题选型：1000 种组合中的代表方案</x:v>
      </x:c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 ht="35" customHeight="1">
      <x:c r="A96" s="120" t="str">
        <x:v>选择方案</x:v>
      </x:c>
      <x:c r="B96" s="120" t="str">
        <x:v>总分 /300</x:v>
      </x:c>
      <x:c r="C96" s="120" t="str">
        <x:v>均分 /100</x:v>
      </x:c>
      <x:c r="D96" s="120" t="str">
        <x:v>总成本 USD</x:v>
      </x:c>
      <x:c r="E96" s="120" t="str">
        <x:v>题 1 分</x:v>
      </x:c>
      <x:c r="F96" s="120" t="str">
        <x:v>题 2 分</x:v>
      </x:c>
      <x:c r="G96" s="120" t="str">
        <x:v>题 3 分</x:v>
      </x:c>
      <x:c r="H96" s="120" t="str">
        <x:v>题 1 USD</x:v>
      </x:c>
      <x:c r="I96" s="120" t="str">
        <x:v>题 2 USD</x:v>
      </x:c>
      <x:c r="J96" s="120" t="str">
        <x:v>题 3 USD</x:v>
      </x:c>
      <x:c r="K96" s="120" t="str">
        <x:v>回答编号</x:v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</x:row>
    <x:row r="97" ht="33" customHeight="1">
      <x:c r="A97" s="31" t="str">
        <x:v>三题均用 Luna max</x:v>
      </x:c>
      <x:c r="B97" s="12" t="n">
        <x:f>SUM(E97:G97)</x:f>
        <x:v>215</x:v>
      </x:c>
      <x:c r="C97" s="23" t="n">
        <x:f>B97/3</x:f>
        <x:v>71.66666666666667</x:v>
      </x:c>
      <x:c r="D97" s="20" t="n">
        <x:f>SUM(H97:J97)</x:f>
        <x:v>0.46399999999999997</x:v>
      </x:c>
      <x:c r="E97" s="12" t="n">
        <x:f>'Task 1'!D8</x:f>
        <x:v>53</x:v>
      </x:c>
      <x:c r="F97" s="12" t="n">
        <x:f>'Task 2'!D3</x:f>
        <x:v>86</x:v>
      </x:c>
      <x:c r="G97" s="12" t="n">
        <x:f>'Task 3'!D3</x:f>
        <x:v>76</x:v>
      </x:c>
      <x:c r="H97" s="20" t="n">
        <x:f>'Task 1'!C8</x:f>
        <x:v>0.178</x:v>
      </x:c>
      <x:c r="I97" s="20" t="n">
        <x:f>'Task 2'!C3</x:f>
        <x:v>0.143</x:v>
      </x:c>
      <x:c r="J97" s="20" t="n">
        <x:f>'Task 3'!C3</x:f>
        <x:v>0.143</x:v>
      </x:c>
      <x:c r="K97" s="61" t="str">
        <x:v>s_1c / 2b / 3b</x:v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 ht="33" customHeight="1">
      <x:c r="A98" s="130" t="str">
        <x:v>每题至少 75 分：最低成本</x:v>
      </x:c>
      <x:c r="B98" s="122" t="n">
        <x:f>SUM(E98:G98)</x:f>
        <x:v>257</x:v>
      </x:c>
      <x:c r="C98" s="127" t="n">
        <x:f>B98/3</x:f>
        <x:v>85.66666666666667</x:v>
      </x:c>
      <x:c r="D98" s="125" t="n">
        <x:f>SUM(H98:J98)</x:f>
        <x:v>1.8980000000000001</x:v>
      </x:c>
      <x:c r="E98" s="122" t="n">
        <x:f>'Task 1'!D10</x:f>
        <x:v>95</x:v>
      </x:c>
      <x:c r="F98" s="122" t="n">
        <x:f>'Task 2'!D3</x:f>
        <x:v>86</x:v>
      </x:c>
      <x:c r="G98" s="122" t="n">
        <x:f>'Task 3'!D3</x:f>
        <x:v>76</x:v>
      </x:c>
      <x:c r="H98" s="125" t="n">
        <x:f>'Task 1'!C10</x:f>
        <x:v>1.612</x:v>
      </x:c>
      <x:c r="I98" s="125" t="n">
        <x:f>'Task 2'!C3</x:f>
        <x:v>0.143</x:v>
      </x:c>
      <x:c r="J98" s="125" t="n">
        <x:f>'Task 3'!C3</x:f>
        <x:v>0.143</x:v>
      </x:c>
      <x:c r="K98" s="132" t="str">
        <x:v>s2_1a / 2b / 3b</x:v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 ht="33" customHeight="1">
      <x:c r="A99" s="31" t="str">
        <x:v>每题至少 80 分：最低成本</x:v>
      </x:c>
      <x:c r="B99" s="12" t="n">
        <x:f>SUM(E99:G99)</x:f>
        <x:v>279</x:v>
      </x:c>
      <x:c r="C99" s="23" t="n">
        <x:f>B99/3</x:f>
        <x:v>93</x:v>
      </x:c>
      <x:c r="D99" s="20" t="n">
        <x:f>SUM(H99:J99)</x:f>
        <x:v>3.1260000000000003</x:v>
      </x:c>
      <x:c r="E99" s="12" t="n">
        <x:f>'Task 1'!D10</x:f>
        <x:v>95</x:v>
      </x:c>
      <x:c r="F99" s="12" t="n">
        <x:f>'Task 2'!D3</x:f>
        <x:v>86</x:v>
      </x:c>
      <x:c r="G99" s="12" t="n">
        <x:f>'Task 3'!D10</x:f>
        <x:v>98</x:v>
      </x:c>
      <x:c r="H99" s="20" t="n">
        <x:f>'Task 1'!C10</x:f>
        <x:v>1.612</x:v>
      </x:c>
      <x:c r="I99" s="20" t="n">
        <x:f>'Task 2'!C3</x:f>
        <x:v>0.143</x:v>
      </x:c>
      <x:c r="J99" s="20" t="n">
        <x:f>'Task 3'!C10</x:f>
        <x:v>1.371</x:v>
      </x:c>
      <x:c r="K99" s="61" t="str">
        <x:v>s2_1a / 2b / s2_3a</x:v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 ht="33" customHeight="1">
      <x:c r="A100" s="130" t="str">
        <x:v>每题至少 90 分：最低成本</x:v>
      </x:c>
      <x:c r="B100" s="122" t="n">
        <x:f>SUM(E100:G100)</x:f>
        <x:v>291</x:v>
      </x:c>
      <x:c r="C100" s="127" t="n">
        <x:f>B100/3</x:f>
        <x:v>97</x:v>
      </x:c>
      <x:c r="D100" s="125" t="n">
        <x:f>SUM(H100:J100)</x:f>
        <x:v>4.093999999999999</x:v>
      </x:c>
      <x:c r="E100" s="122" t="n">
        <x:f>'Task 1'!D10</x:f>
        <x:v>95</x:v>
      </x:c>
      <x:c r="F100" s="122" t="n">
        <x:f>'Task 2'!D10</x:f>
        <x:v>98</x:v>
      </x:c>
      <x:c r="G100" s="122" t="n">
        <x:f>'Task 3'!D10</x:f>
        <x:v>98</x:v>
      </x:c>
      <x:c r="H100" s="125" t="n">
        <x:f>'Task 1'!C10</x:f>
        <x:v>1.612</x:v>
      </x:c>
      <x:c r="I100" s="125" t="n">
        <x:f>'Task 2'!C10</x:f>
        <x:v>1.111</x:v>
      </x:c>
      <x:c r="J100" s="125" t="n">
        <x:f>'Task 3'!C10</x:f>
        <x:v>1.371</x:v>
      </x:c>
      <x:c r="K100" s="132" t="str">
        <x:v>s2_1a / s2_2a / s2_3a</x:v>
      </x:c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 ht="33" customHeight="1">
      <x:c r="A101" s="31" t="str">
        <x:v>每题至少 95 分：最低成本</x:v>
      </x:c>
      <x:c r="B101" s="12" t="n">
        <x:f>SUM(E101:G101)</x:f>
        <x:v>291</x:v>
      </x:c>
      <x:c r="C101" s="23" t="n">
        <x:f>B101/3</x:f>
        <x:v>97</x:v>
      </x:c>
      <x:c r="D101" s="20" t="n">
        <x:f>SUM(H101:J101)</x:f>
        <x:v>4.093999999999999</x:v>
      </x:c>
      <x:c r="E101" s="12" t="n">
        <x:f>'Task 1'!D10</x:f>
        <x:v>95</x:v>
      </x:c>
      <x:c r="F101" s="12" t="n">
        <x:f>'Task 2'!D10</x:f>
        <x:v>98</x:v>
      </x:c>
      <x:c r="G101" s="12" t="n">
        <x:f>'Task 3'!D10</x:f>
        <x:v>98</x:v>
      </x:c>
      <x:c r="H101" s="20" t="n">
        <x:f>'Task 1'!C10</x:f>
        <x:v>1.612</x:v>
      </x:c>
      <x:c r="I101" s="20" t="n">
        <x:f>'Task 2'!C10</x:f>
        <x:v>1.111</x:v>
      </x:c>
      <x:c r="J101" s="20" t="n">
        <x:f>'Task 3'!C10</x:f>
        <x:v>1.371</x:v>
      </x:c>
      <x:c r="K101" s="61" t="str">
        <x:v>s2_1a / s2_2a / s2_3a</x:v>
      </x:c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 ht="33" customHeight="1">
      <x:c r="A102" s="130" t="str">
        <x:v>三题均用 6.1 Sol xhigh</x:v>
      </x:c>
      <x:c r="B102" s="122" t="n">
        <x:f>SUM(E102:G102)</x:f>
        <x:v>291</x:v>
      </x:c>
      <x:c r="C102" s="127" t="n">
        <x:f>B102/3</x:f>
        <x:v>97</x:v>
      </x:c>
      <x:c r="D102" s="125" t="n">
        <x:f>SUM(H102:J102)</x:f>
        <x:v>4.093999999999999</x:v>
      </x:c>
      <x:c r="E102" s="122" t="n">
        <x:f>'Task 1'!D10</x:f>
        <x:v>95</x:v>
      </x:c>
      <x:c r="F102" s="122" t="n">
        <x:f>'Task 2'!D10</x:f>
        <x:v>98</x:v>
      </x:c>
      <x:c r="G102" s="122" t="n">
        <x:f>'Task 3'!D10</x:f>
        <x:v>98</x:v>
      </x:c>
      <x:c r="H102" s="125" t="n">
        <x:f>'Task 1'!C10</x:f>
        <x:v>1.612</x:v>
      </x:c>
      <x:c r="I102" s="125" t="n">
        <x:f>'Task 2'!C10</x:f>
        <x:v>1.111</x:v>
      </x:c>
      <x:c r="J102" s="125" t="n">
        <x:f>'Task 3'!C10</x:f>
        <x:v>1.371</x:v>
      </x:c>
      <x:c r="K102" s="132" t="str">
        <x:v>s2_1a / s2_2a / s2_3a</x:v>
      </x:c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</x:row>
    <x:row r="103" ht="33" customHeight="1">
      <x:c r="A103" s="31" t="str">
        <x:v>三题均用 6.1 Sol max</x:v>
      </x:c>
      <x:c r="B103" s="12" t="n">
        <x:f>SUM(E103:G103)</x:f>
        <x:v>294</x:v>
      </x:c>
      <x:c r="C103" s="23" t="n">
        <x:f>B103/3</x:f>
        <x:v>98</x:v>
      </x:c>
      <x:c r="D103" s="20" t="n">
        <x:f>SUM(H103:J103)</x:f>
        <x:v>4.576</x:v>
      </x:c>
      <x:c r="E103" s="12" t="n">
        <x:f>'Task 1'!D11</x:f>
        <x:v>97</x:v>
      </x:c>
      <x:c r="F103" s="12" t="n">
        <x:f>'Task 2'!D11</x:f>
        <x:v>98</x:v>
      </x:c>
      <x:c r="G103" s="12" t="n">
        <x:f>'Task 3'!D11</x:f>
        <x:v>99</x:v>
      </x:c>
      <x:c r="H103" s="20" t="n">
        <x:f>'Task 1'!C11</x:f>
        <x:v>1.795</x:v>
      </x:c>
      <x:c r="I103" s="20" t="n">
        <x:f>'Task 2'!C11</x:f>
        <x:v>1.14</x:v>
      </x:c>
      <x:c r="J103" s="20" t="n">
        <x:f>'Task 3'!C11</x:f>
        <x:v>1.641</x:v>
      </x:c>
      <x:c r="K103" s="61" t="str">
        <x:v>s2_1b / s2_2b / s2_3b</x:v>
      </x:c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 ht="33" customHeight="1">
      <x:c r="A104" s="131" t="str">
        <x:v>逐题最高分：最低成本</x:v>
      </x:c>
      <x:c r="B104" s="124" t="n">
        <x:f>SUM(E104:G104)</x:f>
        <x:v>294</x:v>
      </x:c>
      <x:c r="C104" s="128" t="n">
        <x:f>B104/3</x:f>
        <x:v>98</x:v>
      </x:c>
      <x:c r="D104" s="126" t="n">
        <x:f>SUM(H104:J104)</x:f>
        <x:v>4.547</x:v>
      </x:c>
      <x:c r="E104" s="124" t="n">
        <x:f>'Task 1'!D11</x:f>
        <x:v>97</x:v>
      </x:c>
      <x:c r="F104" s="124" t="n">
        <x:f>'Task 2'!D10</x:f>
        <x:v>98</x:v>
      </x:c>
      <x:c r="G104" s="124" t="n">
        <x:f>'Task 3'!D11</x:f>
        <x:v>99</x:v>
      </x:c>
      <x:c r="H104" s="126" t="n">
        <x:f>'Task 1'!C11</x:f>
        <x:v>1.795</x:v>
      </x:c>
      <x:c r="I104" s="126" t="n">
        <x:f>'Task 2'!C10</x:f>
        <x:v>1.111</x:v>
      </x:c>
      <x:c r="J104" s="126" t="n">
        <x:f>'Task 3'!C11</x:f>
        <x:v>1.641</x:v>
      </x:c>
      <x:c r="K104" s="133" t="str">
        <x:v>s2_1b / s2_2a / s2_3b</x:v>
      </x:c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 ht="21" customHeight="1">
      <x:c r="A106" s="4" t="str">
        <x:v>组合依据本次已知得分作事后选择，不能外推为未来新题的预期效果；完整模型名称见分析报告。</x:v>
      </x:c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 ht="24" customHeight="1">
      <x:c r="A108" s="27" t="str">
        <x:v>统一模型配置的边际成本</x:v>
      </x:c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 ht="35" customHeight="1">
      <x:c r="A110" s="120" t="str">
        <x:v>比较（全部三题）</x:v>
      </x:c>
      <x:c r="B110" s="120" t="str">
        <x:v>总分增量</x:v>
      </x:c>
      <x:c r="C110" s="120" t="str">
        <x:v>均分增量</x:v>
      </x:c>
      <x:c r="D110" s="120" t="str">
        <x:v>美元增量</x:v>
      </x:c>
      <x:c r="E110" s="120" t="str">
        <x:v>成本变化率</x:v>
      </x:c>
      <x:c r="F110" s="120" t="str">
        <x:v>USD /分</x:v>
      </x:c>
      <x:c r="G110" s="120" t="str">
        <x:v>前者总成本</x:v>
      </x:c>
      <x:c r="H110" s="120" t="str">
        <x:v>后者总成本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 ht="28.5" customHeight="1">
      <x:c r="A111" s="31" t="str">
        <x:v>6.1 max 相对 6.1 xhigh</x:v>
      </x:c>
      <x:c r="B111" s="12" t="n">
        <x:f>C21-C22</x:f>
        <x:v>3</x:v>
      </x:c>
      <x:c r="C111" s="23" t="n">
        <x:f>D21-D22</x:f>
        <x:v>1</x:v>
      </x:c>
      <x:c r="D111" s="20" t="n">
        <x:f>E21-E22</x:f>
        <x:v>0.4820000000000002</x:v>
      </x:c>
      <x:c r="E111" s="38" t="n">
        <x:f>D111/E22</x:f>
        <x:v>0.11773326819736206</x:v>
      </x:c>
      <x:c r="F111" s="20" t="n">
        <x:f>D111/B111</x:f>
        <x:v>0.16066666666666674</x:v>
      </x:c>
      <x:c r="G111" s="20" t="n">
        <x:f>E21</x:f>
        <x:v>4.576</x:v>
      </x:c>
      <x:c r="H111" s="20" t="n">
        <x:f>E22</x:f>
        <x:v>4.093999999999999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 ht="28.5" customHeight="1">
      <x:c r="A112" s="130" t="str">
        <x:v>6.1 xhigh 相对 6 Sol max</x:v>
      </x:c>
      <x:c r="B112" s="122" t="n">
        <x:f>C22-C24</x:f>
        <x:v>8</x:v>
      </x:c>
      <x:c r="C112" s="127" t="n">
        <x:f>D22-D24</x:f>
        <x:v>2.6666666666666714</x:v>
      </x:c>
      <x:c r="D112" s="125" t="n">
        <x:f>E22-E24</x:f>
        <x:v>-4.158000000000001</x:v>
      </x:c>
      <x:c r="E112" s="134" t="n">
        <x:f>D112/E24</x:f>
        <x:v>-0.5038778477944742</x:v>
      </x:c>
      <x:c r="F112" s="125" t="n">
        <x:f>D112/B112</x:f>
        <x:v>-0.5197500000000002</x:v>
      </x:c>
      <x:c r="G112" s="125" t="n">
        <x:f>E22</x:f>
        <x:v>4.093999999999999</x:v>
      </x:c>
      <x:c r="H112" s="125" t="n">
        <x:f>E24</x:f>
        <x:v>8.252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 ht="28.5" customHeight="1">
      <x:c r="A113" s="31" t="str">
        <x:v>6.1 max 相对 6 Sol max</x:v>
      </x:c>
      <x:c r="B113" s="12" t="n">
        <x:f>C21-C24</x:f>
        <x:v>11</x:v>
      </x:c>
      <x:c r="C113" s="23" t="n">
        <x:f>D21-D24</x:f>
        <x:v>3.6666666666666714</x:v>
      </x:c>
      <x:c r="D113" s="20" t="n">
        <x:f>E21-E24</x:f>
        <x:v>-3.676000000000001</x:v>
      </x:c>
      <x:c r="E113" s="38" t="n">
        <x:f>D113/E24</x:f>
        <x:v>-0.44546776539020855</x:v>
      </x:c>
      <x:c r="F113" s="20" t="n">
        <x:f>D113/B113</x:f>
        <x:v>-0.3341818181818183</x:v>
      </x:c>
      <x:c r="G113" s="20" t="n">
        <x:f>E21</x:f>
        <x:v>4.576</x:v>
      </x:c>
      <x:c r="H113" s="20" t="n">
        <x:f>E24</x:f>
        <x:v>8.252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 ht="28.5" customHeight="1">
      <x:c r="A114" s="130" t="str">
        <x:v>6.1 xhigh 相对 Astra high</x:v>
      </x:c>
      <x:c r="B114" s="122" t="n">
        <x:f>C22-C23</x:f>
        <x:v>4</x:v>
      </x:c>
      <x:c r="C114" s="127" t="n">
        <x:f>D22-D23</x:f>
        <x:v>1.3333333333333286</x:v>
      </x:c>
      <x:c r="D114" s="125" t="n">
        <x:f>E22-E23</x:f>
        <x:v>-10.276000000000002</x:v>
      </x:c>
      <x:c r="E114" s="134" t="n">
        <x:f>D114/E23</x:f>
        <x:v>-0.7151009046624913</x:v>
      </x:c>
      <x:c r="F114" s="125" t="n">
        <x:f>D114/B114</x:f>
        <x:v>-2.5690000000000004</x:v>
      </x:c>
      <x:c r="G114" s="125" t="n">
        <x:f>E22</x:f>
        <x:v>4.093999999999999</x:v>
      </x:c>
      <x:c r="H114" s="125" t="n">
        <x:f>E23</x:f>
        <x:v>14.370000000000001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 ht="28.5" customHeight="1">
      <x:c r="A115" s="33" t="str">
        <x:v>6.1 xhigh 相对 Luna max</x:v>
      </x:c>
      <x:c r="B115" s="16" t="n">
        <x:f>C22-C28</x:f>
        <x:v>76</x:v>
      </x:c>
      <x:c r="C115" s="25" t="n">
        <x:f>D22-D28</x:f>
        <x:v>25.33333333333333</x:v>
      </x:c>
      <x:c r="D115" s="22" t="n">
        <x:f>E22-E28</x:f>
        <x:v>3.6299999999999994</x:v>
      </x:c>
      <x:c r="E115" s="65" t="n">
        <x:f>D115/E28</x:f>
        <x:v>7.823275862068965</x:v>
      </x:c>
      <x:c r="F115" s="22" t="n">
        <x:f>D115/B115</x:f>
        <x:v>0.047763157894736834</x:v>
      </x:c>
      <x:c r="G115" s="22" t="n">
        <x:f>E22</x:f>
        <x:v>4.093999999999999</x:v>
      </x:c>
      <x:c r="H115" s="22" t="n">
        <x:f>E28</x:f>
        <x:v>0.46399999999999997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 ht="24" customHeight="1">
      <x:c r="A118" s="27" t="str">
        <x:v>统计口径与数据来源</x:v>
      </x:c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 ht="21" customHeight="1">
      <x:c r="A120" s="4" t="str">
        <x:v>评分依据三批已完成评阅：定义 15、校准 30、验证 15、推进 30、结论校准 10；本次只合并身份和用量。</x:v>
      </x:c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 ht="21" customHeight="1">
      <x:c r="A121" s="4" t="str">
        <x:v>新增映射：s2_1a / s2_2a / s2_3a = GPT-6.1 Sol xhigh；s2_1b / s2_2b / s2_3b = GPT-6.1 Sol max。</x:v>
      </x:c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 ht="21" customHeight="1">
      <x:c r="A122" s="4" t="str">
        <x:v>xhigh 三题美元消耗：1.612、1.111、1.371；max：1.795、1.140、1.641。来源：用户 2026-09-30 披露。</x:v>
      </x:c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 ht="21" customHeight="1">
      <x:c r="A123" s="4" t="str">
        <x:v>每个配置均有三题，均分等权。新增六项成本合计 8.670 USD；未提供 token 数，不倒推 token 或 FLOPs。</x:v>
      </x:c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 ht="21" customHeight="1">
      <x:c r="A124" s="4" t="str">
        <x:v>Opus 三题采用补充报告评分，成本沿用原记录且各计一次；原始匿名答卷与评阅均保留。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 ht="21" customHeight="1">
      <x:c r="A125" s="4" t="str">
        <x:v>每个模型—题目只有一份采用结果，交互轮次和工具预算未证明严格一致；结论限于本次测试材料。</x:v>
      </x:c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 ht="21" customHeight="1">
      <x:c r="A126" s="4" t="str">
        <x:v>评阅区间非统计置信区间；6.1 max 与 xhigh 的小分差不足以证明稳定的总体能力差异。</x:v>
      </x:c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 ht="21" customHeight="1">
      <x:c r="A127" s="4" t="str">
        <x:v>评分按匿名编号开展；部分新增正文费用附录出现型号文字，未据此调分；同族隐性偏好仍可能存在。</x:v>
      </x:c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 ht="21" customHeight="1">
      <x:c r="A128" s="4" t="str">
        <x:v>参考成本沿用参与者记录，不等于订阅实付、推理时间或算力；总分 / USD 不具有科研价值倍数含义。</x:v>
      </x:c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 ht="21" customHeight="1">
      <x:c r="A129" s="4" t="str">
        <x:v>原生图横轴为 log10(USD) 且采用本次成本快照；编辑费用后应重新生成。PNG/SVG 图含评阅范围。</x:v>
      </x:c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 ht="21" customHeight="1">
      <x:c r="A130" s="4" t="str">
        <x:v>来源：评分细则、三批 q1/q2/q3 评阅报告、第二轮补充评分明细，以及参与者确认的费用映射。</x:v>
      </x:c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 ht="21" customHeight="1">
      <x:c r="A131" s="4" t="str">
        <x:v>项目与来源：https://github.com/Zhen-WushuiLingchun/math_physics_ai_benchmark_v1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 ht="21" customHeight="1">
      <x:c r="A133" s="2" t="str">
        <x:v>本表 30 项采用结果的记录成本 USD</x:v>
      </x:c>
      <x:c r="B133" s="2"/>
      <x:c r="C133" s="2"/>
      <x:c r="D133" s="2"/>
      <x:c r="E133" s="40" t="n">
        <x:f>SUM('Task 1'!C2:C11,'Task 2'!C2:C11,'Task 3'!C2:C11)</x:f>
        <x:v>125.51200000000001</x:v>
      </x:c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 ht="24" customHeight="1">
      <x:c r="A135" s="27" t="str">
        <x:v>逐份回答：五维评分、评阅范围与溯源</x:v>
      </x:c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 ht="21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 ht="35" customHeight="1">
      <x:c r="A137" s="120" t="str">
        <x:v>模型配置</x:v>
      </x:c>
      <x:c r="B137" s="120" t="str">
        <x:v>题目</x:v>
      </x:c>
      <x:c r="C137" s="120" t="str">
        <x:v>定义 /15</x:v>
      </x:c>
      <x:c r="D137" s="120" t="str">
        <x:v>校准 /30</x:v>
      </x:c>
      <x:c r="E137" s="120" t="str">
        <x:v>验证 /15</x:v>
      </x:c>
      <x:c r="F137" s="120" t="str">
        <x:v>推进 /30</x:v>
      </x:c>
      <x:c r="G137" s="120" t="str">
        <x:v>结论 /10</x:v>
      </x:c>
      <x:c r="H137" s="120" t="str">
        <x:v>总分 /100</x:v>
      </x:c>
      <x:c r="I137" s="120" t="str">
        <x:v>评阅下限</x:v>
      </x:c>
      <x:c r="J137" s="120" t="str">
        <x:v>评阅上限</x:v>
      </x:c>
      <x:c r="K137" s="120" t="str">
        <x:v>采用编号</x:v>
      </x:c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 ht="21" customHeight="1">
      <x:c r="A138" s="2" t="str">
        <x:v>GPT-5.6 Sol xhigh</x:v>
      </x:c>
      <x:c r="B138" s="12" t="n">
        <x:v>1</x:v>
      </x:c>
      <x:c r="C138" s="12" t="n">
        <x:v>13</x:v>
      </x:c>
      <x:c r="D138" s="12" t="n">
        <x:v>18</x:v>
      </x:c>
      <x:c r="E138" s="12" t="n">
        <x:v>7</x:v>
      </x:c>
      <x:c r="F138" s="12" t="n">
        <x:v>14</x:v>
      </x:c>
      <x:c r="G138" s="12" t="n">
        <x:v>5</x:v>
      </x:c>
      <x:c r="H138" s="12" t="n">
        <x:f>'Task 1'!D2</x:f>
        <x:v>57</x:v>
      </x:c>
      <x:c r="I138" s="12" t="n">
        <x:v>51</x:v>
      </x:c>
      <x:c r="J138" s="12" t="n">
        <x:v>63</x:v>
      </x:c>
      <x:c r="K138" s="12" t="str">
        <x:v>1a</x:v>
      </x:c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 ht="21" customHeight="1">
      <x:c r="A139" s="121" t="str">
        <x:v>GPT-6 Astra high</x:v>
      </x:c>
      <x:c r="B139" s="122" t="n">
        <x:v>1</x:v>
      </x:c>
      <x:c r="C139" s="122" t="n">
        <x:v>14</x:v>
      </x:c>
      <x:c r="D139" s="122" t="n">
        <x:v>28</x:v>
      </x:c>
      <x:c r="E139" s="122" t="n">
        <x:v>13</x:v>
      </x:c>
      <x:c r="F139" s="122" t="n">
        <x:v>28</x:v>
      </x:c>
      <x:c r="G139" s="122" t="n">
        <x:v>9</x:v>
      </x:c>
      <x:c r="H139" s="122" t="n">
        <x:f>'Task 1'!D3</x:f>
        <x:v>92</x:v>
      </x:c>
      <x:c r="I139" s="122" t="n">
        <x:v>88</x:v>
      </x:c>
      <x:c r="J139" s="122" t="n">
        <x:v>95</x:v>
      </x:c>
      <x:c r="K139" s="122" t="str">
        <x:v>1b</x:v>
      </x:c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 ht="21" customHeight="1">
      <x:c r="A140" s="2" t="str">
        <x:v>GPT-6 Sol xhigh</x:v>
      </x:c>
      <x:c r="B140" s="12" t="n">
        <x:v>1</x:v>
      </x:c>
      <x:c r="C140" s="12" t="n">
        <x:v>14</x:v>
      </x:c>
      <x:c r="D140" s="12" t="n">
        <x:v>20</x:v>
      </x:c>
      <x:c r="E140" s="12" t="n">
        <x:v>5</x:v>
      </x:c>
      <x:c r="F140" s="12" t="n">
        <x:v>9</x:v>
      </x:c>
      <x:c r="G140" s="12" t="n">
        <x:v>6</x:v>
      </x:c>
      <x:c r="H140" s="12" t="n">
        <x:f>'Task 1'!D4</x:f>
        <x:v>54</x:v>
      </x:c>
      <x:c r="I140" s="12" t="n">
        <x:v>48</x:v>
      </x:c>
      <x:c r="J140" s="12" t="n">
        <x:v>60</x:v>
      </x:c>
      <x:c r="K140" s="12" t="str">
        <x:v>1c</x:v>
      </x:c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  <x:row r="141" ht="21" customHeight="1">
      <x:c r="A141" s="121" t="str">
        <x:v>Grok 4.7 high</x:v>
      </x:c>
      <x:c r="B141" s="122" t="n">
        <x:v>1</x:v>
      </x:c>
      <x:c r="C141" s="122" t="n">
        <x:v>10</x:v>
      </x:c>
      <x:c r="D141" s="122" t="n">
        <x:v>11</x:v>
      </x:c>
      <x:c r="E141" s="122" t="n">
        <x:v>2</x:v>
      </x:c>
      <x:c r="F141" s="122" t="n">
        <x:v>2</x:v>
      </x:c>
      <x:c r="G141" s="122" t="n">
        <x:v>5</x:v>
      </x:c>
      <x:c r="H141" s="122" t="n">
        <x:f>'Task 1'!D5</x:f>
        <x:v>30</x:v>
      </x:c>
      <x:c r="I141" s="122" t="n">
        <x:v>24</x:v>
      </x:c>
      <x:c r="J141" s="122" t="n">
        <x:v>36</x:v>
      </x:c>
      <x:c r="K141" s="122" t="str">
        <x:v>1d</x:v>
      </x:c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</x:row>
    <x:row r="142" ht="21" customHeight="1">
      <x:c r="A142" s="2" t="str">
        <x:v>Opus 5.5 xhigh</x:v>
      </x:c>
      <x:c r="B142" s="12" t="n">
        <x:v>1</x:v>
      </x:c>
      <x:c r="C142" s="12" t="n">
        <x:v>13</x:v>
      </x:c>
      <x:c r="D142" s="12" t="n">
        <x:v>27</x:v>
      </x:c>
      <x:c r="E142" s="12" t="n">
        <x:v>12</x:v>
      </x:c>
      <x:c r="F142" s="12" t="n">
        <x:v>28</x:v>
      </x:c>
      <x:c r="G142" s="12" t="n">
        <x:v>7</x:v>
      </x:c>
      <x:c r="H142" s="12" t="n">
        <x:f>'Task 1'!D6</x:f>
        <x:v>87</x:v>
      </x:c>
      <x:c r="I142" s="12" t="n">
        <x:v>82</x:v>
      </x:c>
      <x:c r="J142" s="12" t="n">
        <x:v>92</x:v>
      </x:c>
      <x:c r="K142" s="12" t="str">
        <x:v>s_1a</x:v>
      </x:c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</x:row>
    <x:row r="143" ht="21" customHeight="1">
      <x:c r="A143" s="121" t="str">
        <x:v>GPT-6 Sol max</x:v>
      </x:c>
      <x:c r="B143" s="122" t="n">
        <x:v>1</x:v>
      </x:c>
      <x:c r="C143" s="122" t="n">
        <x:v>14</x:v>
      </x:c>
      <x:c r="D143" s="122" t="n">
        <x:v>29</x:v>
      </x:c>
      <x:c r="E143" s="122" t="n">
        <x:v>13</x:v>
      </x:c>
      <x:c r="F143" s="122" t="n">
        <x:v>28</x:v>
      </x:c>
      <x:c r="G143" s="122" t="n">
        <x:v>10</x:v>
      </x:c>
      <x:c r="H143" s="122" t="n">
        <x:f>'Task 1'!D7</x:f>
        <x:v>94</x:v>
      </x:c>
      <x:c r="I143" s="122" t="n">
        <x:v>90</x:v>
      </x:c>
      <x:c r="J143" s="122" t="n">
        <x:v>97</x:v>
      </x:c>
      <x:c r="K143" s="122" t="str">
        <x:v>s_1b</x:v>
      </x:c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</x:row>
    <x:row r="144" ht="21" customHeight="1">
      <x:c r="A144" s="2" t="str">
        <x:v>GPT-6 Luna max</x:v>
      </x:c>
      <x:c r="B144" s="12" t="n">
        <x:v>1</x:v>
      </x:c>
      <x:c r="C144" s="12" t="n">
        <x:v>14</x:v>
      </x:c>
      <x:c r="D144" s="12" t="n">
        <x:v>20</x:v>
      </x:c>
      <x:c r="E144" s="12" t="n">
        <x:v>5</x:v>
      </x:c>
      <x:c r="F144" s="12" t="n">
        <x:v>8</x:v>
      </x:c>
      <x:c r="G144" s="12" t="n">
        <x:v>6</x:v>
      </x:c>
      <x:c r="H144" s="12" t="n">
        <x:f>'Task 1'!D8</x:f>
        <x:v>53</x:v>
      </x:c>
      <x:c r="I144" s="12" t="n">
        <x:v>47</x:v>
      </x:c>
      <x:c r="J144" s="12" t="n">
        <x:v>60</x:v>
      </x:c>
      <x:c r="K144" s="12" t="str">
        <x:v>s_1c</x:v>
      </x:c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</x:row>
    <x:row r="145" ht="21" customHeight="1">
      <x:c r="A145" s="121" t="str">
        <x:v>DeepSeek V4.1 Flash max</x:v>
      </x:c>
      <x:c r="B145" s="122" t="n">
        <x:v>1</x:v>
      </x:c>
      <x:c r="C145" s="122" t="n">
        <x:v>13</x:v>
      </x:c>
      <x:c r="D145" s="122" t="n">
        <x:v>20</x:v>
      </x:c>
      <x:c r="E145" s="122" t="n">
        <x:v>4</x:v>
      </x:c>
      <x:c r="F145" s="122" t="n">
        <x:v>7</x:v>
      </x:c>
      <x:c r="G145" s="122" t="n">
        <x:v>3</x:v>
      </x:c>
      <x:c r="H145" s="122" t="n">
        <x:f>'Task 1'!D9</x:f>
        <x:v>47</x:v>
      </x:c>
      <x:c r="I145" s="122" t="n">
        <x:v>41</x:v>
      </x:c>
      <x:c r="J145" s="122" t="n">
        <x:v>55</x:v>
      </x:c>
      <x:c r="K145" s="122" t="str">
        <x:v>s_1d</x:v>
      </x:c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</x:row>
    <x:row r="146" ht="21" customHeight="1">
      <x:c r="A146" s="2" t="str">
        <x:v>GPT-6.1 Sol xhigh</x:v>
      </x:c>
      <x:c r="B146" s="12" t="n">
        <x:v>1</x:v>
      </x:c>
      <x:c r="C146" s="12" t="n">
        <x:v>15</x:v>
      </x:c>
      <x:c r="D146" s="12" t="n">
        <x:v>30</x:v>
      </x:c>
      <x:c r="E146" s="12" t="n">
        <x:v>13</x:v>
      </x:c>
      <x:c r="F146" s="12" t="n">
        <x:v>27</x:v>
      </x:c>
      <x:c r="G146" s="12" t="n">
        <x:v>10</x:v>
      </x:c>
      <x:c r="H146" s="12" t="n">
        <x:f>'Task 1'!D10</x:f>
        <x:v>95</x:v>
      </x:c>
      <x:c r="I146" s="12" t="n">
        <x:v>92</x:v>
      </x:c>
      <x:c r="J146" s="12" t="n">
        <x:v>98</x:v>
      </x:c>
      <x:c r="K146" s="12" t="str">
        <x:v>s2_1a</x:v>
      </x:c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</x:row>
    <x:row r="147" ht="21" customHeight="1">
      <x:c r="A147" s="121" t="str">
        <x:v>GPT-6.1 Sol max</x:v>
      </x:c>
      <x:c r="B147" s="122" t="n">
        <x:v>1</x:v>
      </x:c>
      <x:c r="C147" s="122" t="n">
        <x:v>15</x:v>
      </x:c>
      <x:c r="D147" s="122" t="n">
        <x:v>30</x:v>
      </x:c>
      <x:c r="E147" s="122" t="n">
        <x:v>13</x:v>
      </x:c>
      <x:c r="F147" s="122" t="n">
        <x:v>29</x:v>
      </x:c>
      <x:c r="G147" s="122" t="n">
        <x:v>10</x:v>
      </x:c>
      <x:c r="H147" s="122" t="n">
        <x:f>'Task 1'!D11</x:f>
        <x:v>97</x:v>
      </x:c>
      <x:c r="I147" s="122" t="n">
        <x:v>94</x:v>
      </x:c>
      <x:c r="J147" s="122" t="n">
        <x:v>99</x:v>
      </x:c>
      <x:c r="K147" s="122" t="str">
        <x:v>s2_1b</x:v>
      </x:c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</x:row>
    <x:row r="148" ht="21" customHeight="1">
      <x:c r="A148" s="2" t="str">
        <x:v>GPT-5.6 Sol xhigh</x:v>
      </x:c>
      <x:c r="B148" s="12" t="n">
        <x:v>2</x:v>
      </x:c>
      <x:c r="C148" s="12" t="n">
        <x:v>15</x:v>
      </x:c>
      <x:c r="D148" s="12" t="n">
        <x:v>30</x:v>
      </x:c>
      <x:c r="E148" s="12" t="n">
        <x:v>12</x:v>
      </x:c>
      <x:c r="F148" s="12" t="n">
        <x:v>21</x:v>
      </x:c>
      <x:c r="G148" s="12" t="n">
        <x:v>9</x:v>
      </x:c>
      <x:c r="H148" s="12" t="n">
        <x:f>'Task 2'!D2</x:f>
        <x:v>87</x:v>
      </x:c>
      <x:c r="I148" s="12" t="n">
        <x:v>84</x:v>
      </x:c>
      <x:c r="J148" s="12" t="n">
        <x:v>90</x:v>
      </x:c>
      <x:c r="K148" s="12" t="str">
        <x:v>2a</x:v>
      </x:c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</x:row>
    <x:row r="149" ht="21" customHeight="1">
      <x:c r="A149" s="121" t="str">
        <x:v>GPT-6 Luna max</x:v>
      </x:c>
      <x:c r="B149" s="122" t="n">
        <x:v>2</x:v>
      </x:c>
      <x:c r="C149" s="122" t="n">
        <x:v>15</x:v>
      </x:c>
      <x:c r="D149" s="122" t="n">
        <x:v>30</x:v>
      </x:c>
      <x:c r="E149" s="122" t="n">
        <x:v>13</x:v>
      </x:c>
      <x:c r="F149" s="122" t="n">
        <x:v>18</x:v>
      </x:c>
      <x:c r="G149" s="122" t="n">
        <x:v>10</x:v>
      </x:c>
      <x:c r="H149" s="122" t="n">
        <x:f>'Task 2'!D3</x:f>
        <x:v>86</x:v>
      </x:c>
      <x:c r="I149" s="122" t="n">
        <x:v>82</x:v>
      </x:c>
      <x:c r="J149" s="122" t="n">
        <x:v>89</x:v>
      </x:c>
      <x:c r="K149" s="122" t="str">
        <x:v>2b</x:v>
      </x:c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</x:row>
    <x:row r="150" ht="21" customHeight="1">
      <x:c r="A150" s="2" t="str">
        <x:v>GPT-6 Sol max</x:v>
      </x:c>
      <x:c r="B150" s="12" t="n">
        <x:v>2</x:v>
      </x:c>
      <x:c r="C150" s="12" t="n">
        <x:v>15</x:v>
      </x:c>
      <x:c r="D150" s="12" t="n">
        <x:v>30</x:v>
      </x:c>
      <x:c r="E150" s="12" t="n">
        <x:v>14</x:v>
      </x:c>
      <x:c r="F150" s="12" t="n">
        <x:v>25</x:v>
      </x:c>
      <x:c r="G150" s="12" t="n">
        <x:v>10</x:v>
      </x:c>
      <x:c r="H150" s="12" t="n">
        <x:f>'Task 2'!D4</x:f>
        <x:v>94</x:v>
      </x:c>
      <x:c r="I150" s="12" t="n">
        <x:v>91</x:v>
      </x:c>
      <x:c r="J150" s="12" t="n">
        <x:v>97</x:v>
      </x:c>
      <x:c r="K150" s="12" t="str">
        <x:v>2c</x:v>
      </x:c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</x:row>
    <x:row r="151" ht="21" customHeight="1">
      <x:c r="A151" s="121" t="str">
        <x:v>GPT-6 Sol xhigh</x:v>
      </x:c>
      <x:c r="B151" s="122" t="n">
        <x:v>2</x:v>
      </x:c>
      <x:c r="C151" s="122" t="n">
        <x:v>15</x:v>
      </x:c>
      <x:c r="D151" s="122" t="n">
        <x:v>30</x:v>
      </x:c>
      <x:c r="E151" s="122" t="n">
        <x:v>13</x:v>
      </x:c>
      <x:c r="F151" s="122" t="n">
        <x:v>24</x:v>
      </x:c>
      <x:c r="G151" s="122" t="n">
        <x:v>10</x:v>
      </x:c>
      <x:c r="H151" s="122" t="n">
        <x:f>'Task 2'!D5</x:f>
        <x:v>92</x:v>
      </x:c>
      <x:c r="I151" s="122" t="n">
        <x:v>89</x:v>
      </x:c>
      <x:c r="J151" s="122" t="n">
        <x:v>95</x:v>
      </x:c>
      <x:c r="K151" s="122" t="str">
        <x:v>2d</x:v>
      </x:c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</x:row>
    <x:row r="152" ht="21" customHeight="1">
      <x:c r="A152" s="2" t="str">
        <x:v>GPT-6 Astra high</x:v>
      </x:c>
      <x:c r="B152" s="12" t="n">
        <x:v>2</x:v>
      </x:c>
      <x:c r="C152" s="12" t="n">
        <x:v>15</x:v>
      </x:c>
      <x:c r="D152" s="12" t="n">
        <x:v>30</x:v>
      </x:c>
      <x:c r="E152" s="12" t="n">
        <x:v>14</x:v>
      </x:c>
      <x:c r="F152" s="12" t="n">
        <x:v>28</x:v>
      </x:c>
      <x:c r="G152" s="12" t="n">
        <x:v>10</x:v>
      </x:c>
      <x:c r="H152" s="12" t="n">
        <x:f>'Task 2'!D6</x:f>
        <x:v>97</x:v>
      </x:c>
      <x:c r="I152" s="12" t="n">
        <x:v>94</x:v>
      </x:c>
      <x:c r="J152" s="12" t="n">
        <x:v>99</x:v>
      </x:c>
      <x:c r="K152" s="12" t="str">
        <x:v>2e</x:v>
      </x:c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</x:row>
    <x:row r="153" ht="21" customHeight="1">
      <x:c r="A153" s="121" t="str">
        <x:v>Grok 4.7 high</x:v>
      </x:c>
      <x:c r="B153" s="122" t="n">
        <x:v>2</x:v>
      </x:c>
      <x:c r="C153" s="122" t="n">
        <x:v>13</x:v>
      </x:c>
      <x:c r="D153" s="122" t="n">
        <x:v>25</x:v>
      </x:c>
      <x:c r="E153" s="122" t="n">
        <x:v>11</x:v>
      </x:c>
      <x:c r="F153" s="122" t="n">
        <x:v>15</x:v>
      </x:c>
      <x:c r="G153" s="122" t="n">
        <x:v>5</x:v>
      </x:c>
      <x:c r="H153" s="122" t="n">
        <x:f>'Task 2'!D7</x:f>
        <x:v>69</x:v>
      </x:c>
      <x:c r="I153" s="122" t="n">
        <x:v>65</x:v>
      </x:c>
      <x:c r="J153" s="122" t="n">
        <x:v>75</x:v>
      </x:c>
      <x:c r="K153" s="122" t="str">
        <x:v>2f</x:v>
      </x:c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</x:row>
    <x:row r="154" ht="21" customHeight="1">
      <x:c r="A154" s="2" t="str">
        <x:v>Opus 5.5 xhigh</x:v>
      </x:c>
      <x:c r="B154" s="12" t="n">
        <x:v>2</x:v>
      </x:c>
      <x:c r="C154" s="12" t="n">
        <x:v>15</x:v>
      </x:c>
      <x:c r="D154" s="12" t="n">
        <x:v>30</x:v>
      </x:c>
      <x:c r="E154" s="12" t="n">
        <x:v>13</x:v>
      </x:c>
      <x:c r="F154" s="12" t="n">
        <x:v>28</x:v>
      </x:c>
      <x:c r="G154" s="12" t="n">
        <x:v>7</x:v>
      </x:c>
      <x:c r="H154" s="12" t="n">
        <x:f>'Task 2'!D8</x:f>
        <x:v>93</x:v>
      </x:c>
      <x:c r="I154" s="12" t="n">
        <x:v>88</x:v>
      </x:c>
      <x:c r="J154" s="12" t="n">
        <x:v>97</x:v>
      </x:c>
      <x:c r="K154" s="12" t="str">
        <x:v>s_2a</x:v>
      </x:c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</x:row>
    <x:row r="155" ht="21" customHeight="1">
      <x:c r="A155" s="121" t="str">
        <x:v>DeepSeek V4.1 Flash max</x:v>
      </x:c>
      <x:c r="B155" s="122" t="n">
        <x:v>2</x:v>
      </x:c>
      <x:c r="C155" s="122" t="n">
        <x:v>14</x:v>
      </x:c>
      <x:c r="D155" s="122" t="n">
        <x:v>27</x:v>
      </x:c>
      <x:c r="E155" s="122" t="n">
        <x:v>11</x:v>
      </x:c>
      <x:c r="F155" s="122" t="n">
        <x:v>17</x:v>
      </x:c>
      <x:c r="G155" s="122" t="n">
        <x:v>6</x:v>
      </x:c>
      <x:c r="H155" s="122" t="n">
        <x:f>'Task 2'!D9</x:f>
        <x:v>75</x:v>
      </x:c>
      <x:c r="I155" s="122" t="n">
        <x:v>70</x:v>
      </x:c>
      <x:c r="J155" s="122" t="n">
        <x:v>81</x:v>
      </x:c>
      <x:c r="K155" s="122" t="str">
        <x:v>s_2b</x:v>
      </x:c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</x:row>
    <x:row r="156" ht="21" customHeight="1">
      <x:c r="A156" s="2" t="str">
        <x:v>GPT-6.1 Sol xhigh</x:v>
      </x:c>
      <x:c r="B156" s="12" t="n">
        <x:v>2</x:v>
      </x:c>
      <x:c r="C156" s="12" t="n">
        <x:v>15</x:v>
      </x:c>
      <x:c r="D156" s="12" t="n">
        <x:v>30</x:v>
      </x:c>
      <x:c r="E156" s="12" t="n">
        <x:v>14</x:v>
      </x:c>
      <x:c r="F156" s="12" t="n">
        <x:v>29</x:v>
      </x:c>
      <x:c r="G156" s="12" t="n">
        <x:v>10</x:v>
      </x:c>
      <x:c r="H156" s="12" t="n">
        <x:f>'Task 2'!D10</x:f>
        <x:v>98</x:v>
      </x:c>
      <x:c r="I156" s="12" t="n">
        <x:v>95</x:v>
      </x:c>
      <x:c r="J156" s="12" t="n">
        <x:v>100</x:v>
      </x:c>
      <x:c r="K156" s="12" t="str">
        <x:v>s2_2a</x:v>
      </x:c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</x:row>
    <x:row r="157" ht="21" customHeight="1">
      <x:c r="A157" s="121" t="str">
        <x:v>GPT-6.1 Sol max</x:v>
      </x:c>
      <x:c r="B157" s="122" t="n">
        <x:v>2</x:v>
      </x:c>
      <x:c r="C157" s="122" t="n">
        <x:v>15</x:v>
      </x:c>
      <x:c r="D157" s="122" t="n">
        <x:v>30</x:v>
      </x:c>
      <x:c r="E157" s="122" t="n">
        <x:v>14</x:v>
      </x:c>
      <x:c r="F157" s="122" t="n">
        <x:v>29</x:v>
      </x:c>
      <x:c r="G157" s="122" t="n">
        <x:v>10</x:v>
      </x:c>
      <x:c r="H157" s="122" t="n">
        <x:f>'Task 2'!D11</x:f>
        <x:v>98</x:v>
      </x:c>
      <x:c r="I157" s="122" t="n">
        <x:v>95</x:v>
      </x:c>
      <x:c r="J157" s="122" t="n">
        <x:v>100</x:v>
      </x:c>
      <x:c r="K157" s="122" t="str">
        <x:v>s2_2b</x:v>
      </x:c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</x:row>
    <x:row r="158" ht="21" customHeight="1">
      <x:c r="A158" s="2" t="str">
        <x:v>GPT-5.6 Sol xhigh</x:v>
      </x:c>
      <x:c r="B158" s="12" t="n">
        <x:v>3</x:v>
      </x:c>
      <x:c r="C158" s="12" t="n">
        <x:v>14</x:v>
      </x:c>
      <x:c r="D158" s="12" t="n">
        <x:v>27</x:v>
      </x:c>
      <x:c r="E158" s="12" t="n">
        <x:v>12</x:v>
      </x:c>
      <x:c r="F158" s="12" t="n">
        <x:v>20</x:v>
      </x:c>
      <x:c r="G158" s="12" t="n">
        <x:v>9</x:v>
      </x:c>
      <x:c r="H158" s="12" t="n">
        <x:f>'Task 3'!D2</x:f>
        <x:v>82</x:v>
      </x:c>
      <x:c r="I158" s="12" t="n">
        <x:v>78</x:v>
      </x:c>
      <x:c r="J158" s="12" t="n">
        <x:v>86</x:v>
      </x:c>
      <x:c r="K158" s="12" t="str">
        <x:v>3a</x:v>
      </x:c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</x:row>
    <x:row r="159" ht="21" customHeight="1">
      <x:c r="A159" s="121" t="str">
        <x:v>GPT-6 Luna max</x:v>
      </x:c>
      <x:c r="B159" s="122" t="n">
        <x:v>3</x:v>
      </x:c>
      <x:c r="C159" s="122" t="n">
        <x:v>15</x:v>
      </x:c>
      <x:c r="D159" s="122" t="n">
        <x:v>25</x:v>
      </x:c>
      <x:c r="E159" s="122" t="n">
        <x:v>9</x:v>
      </x:c>
      <x:c r="F159" s="122" t="n">
        <x:v>18</x:v>
      </x:c>
      <x:c r="G159" s="122" t="n">
        <x:v>9</x:v>
      </x:c>
      <x:c r="H159" s="122" t="n">
        <x:f>'Task 3'!D3</x:f>
        <x:v>76</x:v>
      </x:c>
      <x:c r="I159" s="122" t="n">
        <x:v>72</x:v>
      </x:c>
      <x:c r="J159" s="122" t="n">
        <x:v>81</x:v>
      </x:c>
      <x:c r="K159" s="122" t="str">
        <x:v>3b</x:v>
      </x:c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</x:row>
    <x:row r="160" ht="21" customHeight="1">
      <x:c r="A160" s="2" t="str">
        <x:v>GPT-6 Sol max</x:v>
      </x:c>
      <x:c r="B160" s="12" t="n">
        <x:v>3</x:v>
      </x:c>
      <x:c r="C160" s="12" t="n">
        <x:v>15</x:v>
      </x:c>
      <x:c r="D160" s="12" t="n">
        <x:v>29</x:v>
      </x:c>
      <x:c r="E160" s="12" t="n">
        <x:v>12</x:v>
      </x:c>
      <x:c r="F160" s="12" t="n">
        <x:v>29</x:v>
      </x:c>
      <x:c r="G160" s="12" t="n">
        <x:v>10</x:v>
      </x:c>
      <x:c r="H160" s="12" t="n">
        <x:f>'Task 3'!D4</x:f>
        <x:v>95</x:v>
      </x:c>
      <x:c r="I160" s="12" t="n">
        <x:v>91</x:v>
      </x:c>
      <x:c r="J160" s="12" t="n">
        <x:v>98</x:v>
      </x:c>
      <x:c r="K160" s="12" t="str">
        <x:v>3c</x:v>
      </x:c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</x:row>
    <x:row r="161" ht="21" customHeight="1">
      <x:c r="A161" s="121" t="str">
        <x:v>GPT-6 Sol xhigh</x:v>
      </x:c>
      <x:c r="B161" s="122" t="n">
        <x:v>3</x:v>
      </x:c>
      <x:c r="C161" s="122" t="n">
        <x:v>15</x:v>
      </x:c>
      <x:c r="D161" s="122" t="n">
        <x:v>29</x:v>
      </x:c>
      <x:c r="E161" s="122" t="n">
        <x:v>12</x:v>
      </x:c>
      <x:c r="F161" s="122" t="n">
        <x:v>24</x:v>
      </x:c>
      <x:c r="G161" s="122" t="n">
        <x:v>10</x:v>
      </x:c>
      <x:c r="H161" s="122" t="n">
        <x:f>'Task 3'!D5</x:f>
        <x:v>90</x:v>
      </x:c>
      <x:c r="I161" s="122" t="n">
        <x:v>86</x:v>
      </x:c>
      <x:c r="J161" s="122" t="n">
        <x:v>94</x:v>
      </x:c>
      <x:c r="K161" s="122" t="str">
        <x:v>3d</x:v>
      </x:c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</x:row>
    <x:row r="162" ht="21" customHeight="1">
      <x:c r="A162" s="2" t="str">
        <x:v>GPT-6 Astra high</x:v>
      </x:c>
      <x:c r="B162" s="12" t="n">
        <x:v>3</x:v>
      </x:c>
      <x:c r="C162" s="12" t="n">
        <x:v>15</x:v>
      </x:c>
      <x:c r="D162" s="12" t="n">
        <x:v>30</x:v>
      </x:c>
      <x:c r="E162" s="12" t="n">
        <x:v>14</x:v>
      </x:c>
      <x:c r="F162" s="12" t="n">
        <x:v>29</x:v>
      </x:c>
      <x:c r="G162" s="12" t="n">
        <x:v>10</x:v>
      </x:c>
      <x:c r="H162" s="12" t="n">
        <x:f>'Task 3'!D6</x:f>
        <x:v>98</x:v>
      </x:c>
      <x:c r="I162" s="12" t="n">
        <x:v>94</x:v>
      </x:c>
      <x:c r="J162" s="12" t="n">
        <x:v>99</x:v>
      </x:c>
      <x:c r="K162" s="12" t="str">
        <x:v>3e</x:v>
      </x:c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</x:row>
    <x:row r="163" ht="21" customHeight="1">
      <x:c r="A163" s="121" t="str">
        <x:v>Grok 4.7 high</x:v>
      </x:c>
      <x:c r="B163" s="122" t="n">
        <x:v>3</x:v>
      </x:c>
      <x:c r="C163" s="122" t="n">
        <x:v>13</x:v>
      </x:c>
      <x:c r="D163" s="122" t="n">
        <x:v>23</x:v>
      </x:c>
      <x:c r="E163" s="122" t="n">
        <x:v>12</x:v>
      </x:c>
      <x:c r="F163" s="122" t="n">
        <x:v>15</x:v>
      </x:c>
      <x:c r="G163" s="122" t="n">
        <x:v>7</x:v>
      </x:c>
      <x:c r="H163" s="122" t="n">
        <x:f>'Task 3'!D7</x:f>
        <x:v>70</x:v>
      </x:c>
      <x:c r="I163" s="122" t="n">
        <x:v>65</x:v>
      </x:c>
      <x:c r="J163" s="122" t="n">
        <x:v>75</x:v>
      </x:c>
      <x:c r="K163" s="122" t="str">
        <x:v>3f</x:v>
      </x:c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</x:row>
    <x:row r="164" ht="21" customHeight="1">
      <x:c r="A164" s="2" t="str">
        <x:v>Opus 5.5 xhigh</x:v>
      </x:c>
      <x:c r="B164" s="12" t="n">
        <x:v>3</x:v>
      </x:c>
      <x:c r="C164" s="12" t="n">
        <x:v>13</x:v>
      </x:c>
      <x:c r="D164" s="12" t="n">
        <x:v>28</x:v>
      </x:c>
      <x:c r="E164" s="12" t="n">
        <x:v>14</x:v>
      </x:c>
      <x:c r="F164" s="12" t="n">
        <x:v>21</x:v>
      </x:c>
      <x:c r="G164" s="12" t="n">
        <x:v>5</x:v>
      </x:c>
      <x:c r="H164" s="12" t="n">
        <x:f>'Task 3'!D8</x:f>
        <x:v>81</x:v>
      </x:c>
      <x:c r="I164" s="12" t="n">
        <x:v>76</x:v>
      </x:c>
      <x:c r="J164" s="12" t="n">
        <x:v>86</x:v>
      </x:c>
      <x:c r="K164" s="12" t="str">
        <x:v>s_3a</x:v>
      </x:c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</x:row>
    <x:row r="165" ht="21" customHeight="1">
      <x:c r="A165" s="121" t="str">
        <x:v>DeepSeek V4.1 Flash max</x:v>
      </x:c>
      <x:c r="B165" s="122" t="n">
        <x:v>3</x:v>
      </x:c>
      <x:c r="C165" s="122" t="n">
        <x:v>10</x:v>
      </x:c>
      <x:c r="D165" s="122" t="n">
        <x:v>21</x:v>
      </x:c>
      <x:c r="E165" s="122" t="n">
        <x:v>9</x:v>
      </x:c>
      <x:c r="F165" s="122" t="n">
        <x:v>11</x:v>
      </x:c>
      <x:c r="G165" s="122" t="n">
        <x:v>3</x:v>
      </x:c>
      <x:c r="H165" s="122" t="n">
        <x:f>'Task 3'!D9</x:f>
        <x:v>54</x:v>
      </x:c>
      <x:c r="I165" s="122" t="n">
        <x:v>49</x:v>
      </x:c>
      <x:c r="J165" s="122" t="n">
        <x:v>60</x:v>
      </x:c>
      <x:c r="K165" s="122" t="str">
        <x:v>s_3b</x:v>
      </x:c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</x:row>
    <x:row r="166" ht="21" customHeight="1">
      <x:c r="A166" s="2" t="str">
        <x:v>GPT-6.1 Sol xhigh</x:v>
      </x:c>
      <x:c r="B166" s="12" t="n">
        <x:v>3</x:v>
      </x:c>
      <x:c r="C166" s="12" t="n">
        <x:v>15</x:v>
      </x:c>
      <x:c r="D166" s="12" t="n">
        <x:v>30</x:v>
      </x:c>
      <x:c r="E166" s="12" t="n">
        <x:v>13</x:v>
      </x:c>
      <x:c r="F166" s="12" t="n">
        <x:v>30</x:v>
      </x:c>
      <x:c r="G166" s="12" t="n">
        <x:v>10</x:v>
      </x:c>
      <x:c r="H166" s="12" t="n">
        <x:f>'Task 3'!D10</x:f>
        <x:v>98</x:v>
      </x:c>
      <x:c r="I166" s="12" t="n">
        <x:v>94</x:v>
      </x:c>
      <x:c r="J166" s="12" t="n">
        <x:v>100</x:v>
      </x:c>
      <x:c r="K166" s="12" t="str">
        <x:v>s2_3a</x:v>
      </x:c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</x:row>
    <x:row r="167" ht="21" customHeight="1">
      <x:c r="A167" s="123" t="str">
        <x:v>GPT-6.1 Sol max</x:v>
      </x:c>
      <x:c r="B167" s="124" t="n">
        <x:v>3</x:v>
      </x:c>
      <x:c r="C167" s="124" t="n">
        <x:v>15</x:v>
      </x:c>
      <x:c r="D167" s="124" t="n">
        <x:v>30</x:v>
      </x:c>
      <x:c r="E167" s="124" t="n">
        <x:v>14</x:v>
      </x:c>
      <x:c r="F167" s="124" t="n">
        <x:v>30</x:v>
      </x:c>
      <x:c r="G167" s="124" t="n">
        <x:v>10</x:v>
      </x:c>
      <x:c r="H167" s="124" t="n">
        <x:f>'Task 3'!D11</x:f>
        <x:v>99</x:v>
      </x:c>
      <x:c r="I167" s="124" t="n">
        <x:v>95</x:v>
      </x:c>
      <x:c r="J167" s="124" t="n">
        <x:v>100</x:v>
      </x:c>
      <x:c r="K167" s="124" t="str">
        <x:v>s2_3b</x:v>
      </x:c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</x:row>
    <x:row r="168" ht="21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</x:row>
    <x:row r="169" ht="21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</x:row>
    <x:row r="170" ht="24" customHeight="1">
      <x:c r="A170" s="27" t="str">
        <x:v>本次完整样本的模型评价</x:v>
      </x:c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</x:row>
    <x:row r="171" ht="21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</x:row>
    <x:row r="172" ht="21" customHeight="1">
      <x:c r="A172" s="4" t="str">
        <x:v>GPT-6.1 Sol max：294/300，成本 4.576 USD。均分最高；核空间证书、恢复界及最佳波形幂次成立，验证覆盖较完整。</x:v>
      </x:c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</x:row>
    <x:row r="173" ht="21" customHeight="1">
      <x:c r="A173" s="4" t="str">
        <x:v>GPT-6.1 Sol xhigh：291/300，成本 4.094 USD。高分与成本折中突出；比 max 少 3 个总分，费用少 0.482 USD。</x:v>
      </x:c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</x:row>
    <x:row r="174" ht="21" customHeight="1">
      <x:c r="A174" s="4" t="str">
        <x:v>GPT-6 Astra high：287/300，成本 14.370 USD。三题证据强；在本次中心分数与成本上被两个 6.1 配置支配。</x:v>
      </x:c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</x:row>
    <x:row r="175" ht="21" customHeight="1">
      <x:c r="A175" s="4" t="str">
        <x:v>GPT-6 Sol max：283/300，成本 8.252 USD。三题均衡且 ≥94；新 6.1 配置以更低成本取得更高分数。</x:v>
      </x:c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</x:row>
    <x:row r="176" ht="21" customHeight="1">
      <x:c r="A176" s="4" t="str">
        <x:v>Opus 5.5 xhigh：261/300，成本 50.770 USD。有价值的低点与解析归约；一般化论证和较高成本限制本次竞争力。</x:v>
      </x:c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</x:row>
    <x:row r="177" ht="21" customHeight="1">
      <x:c r="A177" s="4" t="str">
        <x:v>GPT-6 Sol xhigh：236/300，成本 6.184 USD。题 2、3 较强；题 1 的关键输入错误进入核心证书，跨题差异明显。</x:v>
      </x:c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</x:row>
    <x:row r="178" ht="21" customHeight="1">
      <x:c r="A178" s="4" t="str">
        <x:v>GPT-5.6 Sol xhigh：226/300，成本 20.805 USD。部分计算正确；目标错配和低频缺口限制结论，记录成本较高。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</x:row>
    <x:row r="179" ht="21" customHeight="1">
      <x:c r="A179" s="4" t="str">
        <x:v>GPT-6 Luna max：215/300，成本 0.464 USD。最低成本的完整配置；题 2 基础与局部恢复结果较强，研究层仍有缺口。</x:v>
      </x:c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</x:row>
    <x:row r="180" ht="21" customHeight="1">
      <x:c r="A180" s="4" t="str">
        <x:v>DeepSeek V4.1 Flash max：176/300，成本 1.321 USD。部分结构成立，但核心输入与统一性推论不足；本次被 Luna 逐题支配。</x:v>
      </x:c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</x:row>
    <x:row r="181" ht="21" customHeight="1">
      <x:c r="A181" s="4" t="str">
        <x:v>Grok 4.7 high：169/300，成本 14.676 USD。有局部正确计算；树级相位与恢复基线等校准问题影响主要结论。</x:v>
      </x:c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</x:row>
    <x:row r="182" ht="2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</x:row>
    <x:row r="183" ht="2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</x:row>
    <x:row r="184" ht="2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</x:row>
    <x:row r="185" ht="2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</x:row>
    <x:row r="186" ht="2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</x:row>
    <x:row r="187" ht="2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</x:row>
    <x:row r="188" ht="2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</x:row>
    <x:row r="189" ht="2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</x:row>
    <x:row r="190" ht="2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</x:row>
  </x:sheetData>
  <x:mergeCells>
    <x:mergeCell ref="A32:K32"/>
  </x:mergeCells>
  <x:conditionalFormatting sqref="G19:G25">
    <x:cfRule type="containsText" dxfId="0" priority="1" operator="containsText" text="前沿"/>
  </x:conditionalFormatting>
  <x:conditionalFormatting sqref="G30:G34">
    <x:cfRule type="containsText" dxfId="1" priority="2" operator="containsText" text="前沿"/>
  </x:conditionalFormatting>
  <x:conditionalFormatting sqref="I19:I26">
    <x:cfRule type="containsText" dxfId="2" priority="3" operator="containsText" text="前沿"/>
    <x:cfRule type="containsText" dxfId="3" priority="4" operator="containsText" text="前沿"/>
  </x:conditionalFormatting>
  <x:conditionalFormatting sqref="I21:I30">
    <x:cfRule type="containsText" dxfId="4" priority="5" operator="containsText" text="前沿"/>
    <x:cfRule type="containsText" dxfId="5" priority="6" operator="containsText" text="前沿"/>
    <x:cfRule type="containsText" dxfId="6" priority="7" operator="containsText" text="前沿"/>
  </x:conditionalFormatting>
  <x:pageMargins left="0.7" right="0.7" top="0.75" bottom="0.75" header="0.3" footer="0.3"/>
  <x:drawing xmlns:r="http://schemas.openxmlformats.org/officeDocument/2006/relationships" r:id="R927b918ad3484b22"/>
</x:worksheet>
</file>